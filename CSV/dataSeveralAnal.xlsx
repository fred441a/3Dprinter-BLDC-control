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53972EF4-1317-442B-8281-8EB37DA9AB0D}" xr6:coauthVersionLast="47" xr6:coauthVersionMax="47" xr10:uidLastSave="{00000000-0000-0000-0000-000000000000}"/>
  <bookViews>
    <workbookView xWindow="-110" yWindow="-110" windowWidth="25820" windowHeight="15500" xr2:uid="{9C07BAF3-E74C-422E-BC89-5E0FDF503FC7}"/>
  </bookViews>
  <sheets>
    <sheet name="dataSeveralA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1" i="1" l="1"/>
  <c r="C79" i="1"/>
  <c r="C80" i="1"/>
  <c r="E80" i="1"/>
  <c r="C81" i="1"/>
  <c r="E81" i="1"/>
  <c r="C82" i="1"/>
  <c r="E82" i="1"/>
  <c r="C83" i="1"/>
  <c r="C84" i="1"/>
  <c r="E84" i="1"/>
  <c r="C85" i="1"/>
  <c r="E85" i="1"/>
  <c r="C86" i="1"/>
  <c r="E86" i="1"/>
  <c r="C87" i="1"/>
  <c r="C88" i="1"/>
  <c r="C89" i="1"/>
  <c r="E89" i="1"/>
  <c r="C90" i="1"/>
  <c r="E90" i="1"/>
  <c r="C91" i="1"/>
  <c r="C92" i="1"/>
  <c r="E92" i="1"/>
  <c r="C93" i="1"/>
  <c r="E93" i="1"/>
  <c r="C94" i="1"/>
  <c r="E94" i="1"/>
  <c r="C95" i="1"/>
  <c r="C96" i="1"/>
  <c r="E96" i="1"/>
  <c r="C97" i="1"/>
  <c r="C98" i="1"/>
  <c r="E98" i="1"/>
  <c r="C99" i="1"/>
  <c r="E99" i="1"/>
  <c r="C100" i="1"/>
  <c r="E100" i="1"/>
  <c r="C101" i="1"/>
  <c r="E101" i="1"/>
  <c r="C102" i="1"/>
  <c r="E102" i="1"/>
  <c r="I97" i="1" s="1"/>
  <c r="C103" i="1"/>
  <c r="E103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C124" i="1"/>
  <c r="E124" i="1"/>
  <c r="C125" i="1"/>
  <c r="C126" i="1"/>
  <c r="E126" i="1"/>
  <c r="C127" i="1"/>
  <c r="E127" i="1"/>
  <c r="C128" i="1"/>
  <c r="E128" i="1"/>
  <c r="E78" i="1"/>
  <c r="C78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V94" i="1" s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R79" i="1"/>
  <c r="P79" i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I98" i="1" l="1"/>
  <c r="I100" i="1"/>
  <c r="V95" i="1"/>
  <c r="V97" i="1"/>
  <c r="D79" i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AI73" i="1" l="1"/>
  <c r="AI74" i="1"/>
  <c r="AI75" i="1"/>
  <c r="AI76" i="1"/>
  <c r="AI77" i="1"/>
  <c r="AI78" i="1"/>
  <c r="AI79" i="1"/>
  <c r="AI80" i="1"/>
  <c r="AI81" i="1"/>
  <c r="AI61" i="1"/>
  <c r="AG105" i="1"/>
  <c r="AI105" i="1"/>
  <c r="AG106" i="1"/>
  <c r="AI106" i="1"/>
  <c r="AG107" i="1"/>
  <c r="AI107" i="1"/>
  <c r="AG108" i="1"/>
  <c r="AI108" i="1"/>
  <c r="AG109" i="1"/>
  <c r="AI109" i="1"/>
  <c r="AG110" i="1"/>
  <c r="AI110" i="1"/>
  <c r="AG111" i="1"/>
  <c r="AI111" i="1"/>
  <c r="AG62" i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I62" i="1"/>
  <c r="AG63" i="1"/>
  <c r="AG64" i="1"/>
  <c r="AI64" i="1"/>
  <c r="AG65" i="1"/>
  <c r="AI65" i="1"/>
  <c r="AG66" i="1"/>
  <c r="AI66" i="1"/>
  <c r="AG67" i="1"/>
  <c r="AI67" i="1"/>
  <c r="AG68" i="1"/>
  <c r="AI68" i="1"/>
  <c r="AG69" i="1"/>
  <c r="AI69" i="1"/>
  <c r="AG70" i="1"/>
  <c r="AI70" i="1"/>
  <c r="AG71" i="1"/>
  <c r="AI71" i="1"/>
  <c r="AG72" i="1"/>
  <c r="AI72" i="1"/>
  <c r="AG73" i="1"/>
  <c r="AG74" i="1"/>
  <c r="AG75" i="1"/>
  <c r="AG76" i="1"/>
  <c r="AG77" i="1"/>
  <c r="AG78" i="1"/>
  <c r="AG79" i="1"/>
  <c r="AG80" i="1"/>
  <c r="AG81" i="1"/>
  <c r="AG82" i="1"/>
  <c r="AI82" i="1"/>
  <c r="AG83" i="1"/>
  <c r="AI83" i="1"/>
  <c r="AG84" i="1"/>
  <c r="AI84" i="1"/>
  <c r="AG85" i="1"/>
  <c r="AI85" i="1"/>
  <c r="AI113" i="1" s="1"/>
  <c r="AI114" i="1" s="1"/>
  <c r="AG86" i="1"/>
  <c r="AI86" i="1"/>
  <c r="AG87" i="1"/>
  <c r="AI87" i="1"/>
  <c r="AG88" i="1"/>
  <c r="AI88" i="1"/>
  <c r="AG89" i="1"/>
  <c r="AI89" i="1"/>
  <c r="AG90" i="1"/>
  <c r="AI90" i="1"/>
  <c r="AG91" i="1"/>
  <c r="AI91" i="1"/>
  <c r="AG92" i="1"/>
  <c r="AI92" i="1"/>
  <c r="AG93" i="1"/>
  <c r="AI93" i="1"/>
  <c r="AG94" i="1"/>
  <c r="AI94" i="1"/>
  <c r="AG95" i="1"/>
  <c r="AI95" i="1"/>
  <c r="AG96" i="1"/>
  <c r="AI96" i="1"/>
  <c r="AG97" i="1"/>
  <c r="AI97" i="1"/>
  <c r="AG98" i="1"/>
  <c r="AI98" i="1"/>
  <c r="AG99" i="1"/>
  <c r="AI99" i="1"/>
  <c r="AG100" i="1"/>
  <c r="AI100" i="1"/>
  <c r="AG101" i="1"/>
  <c r="AI101" i="1"/>
  <c r="AG102" i="1"/>
  <c r="AI102" i="1"/>
  <c r="AG103" i="1"/>
  <c r="AI103" i="1"/>
  <c r="AG104" i="1"/>
  <c r="AI104" i="1"/>
  <c r="L78" i="1"/>
  <c r="L77" i="1"/>
  <c r="L76" i="1"/>
  <c r="L75" i="1"/>
  <c r="L74" i="1"/>
  <c r="L70" i="1"/>
  <c r="L69" i="1"/>
  <c r="L68" i="1"/>
  <c r="L67" i="1"/>
  <c r="L73" i="1"/>
  <c r="L72" i="1"/>
  <c r="L66" i="1"/>
  <c r="L65" i="1"/>
  <c r="L64" i="1"/>
  <c r="L63" i="1"/>
  <c r="L62" i="1"/>
  <c r="L61" i="1"/>
  <c r="L60" i="1"/>
  <c r="L59" i="1"/>
  <c r="L58" i="1"/>
</calcChain>
</file>

<file path=xl/sharedStrings.xml><?xml version="1.0" encoding="utf-8"?>
<sst xmlns="http://schemas.openxmlformats.org/spreadsheetml/2006/main" count="62" uniqueCount="38">
  <si>
    <t>N:0.250000</t>
  </si>
  <si>
    <t xml:space="preserve"> </t>
  </si>
  <si>
    <t>N:0.500000</t>
  </si>
  <si>
    <t>N:0.750000</t>
  </si>
  <si>
    <t>N:1.000000</t>
  </si>
  <si>
    <t>N:1.250000</t>
  </si>
  <si>
    <t>N:1.500000</t>
  </si>
  <si>
    <t>N:1.750000</t>
  </si>
  <si>
    <t>N:2.000000</t>
  </si>
  <si>
    <t>N:2.250000</t>
  </si>
  <si>
    <t>N:2.500000</t>
  </si>
  <si>
    <t>N:2.750000</t>
  </si>
  <si>
    <t>N:3.000000</t>
  </si>
  <si>
    <t>N:3.250000</t>
  </si>
  <si>
    <t>N:3.500000</t>
  </si>
  <si>
    <t>N:4.000000</t>
  </si>
  <si>
    <t>N:4.250000</t>
  </si>
  <si>
    <t>N:4.500000</t>
  </si>
  <si>
    <t>N:4.750000</t>
  </si>
  <si>
    <t>N:5.000000</t>
  </si>
  <si>
    <t>N:5.250000</t>
  </si>
  <si>
    <t>N:5.500000</t>
  </si>
  <si>
    <t>N:5.750000</t>
  </si>
  <si>
    <t>voltage</t>
  </si>
  <si>
    <t>step for 2.75 V</t>
  </si>
  <si>
    <t>time</t>
  </si>
  <si>
    <t>rad/s</t>
  </si>
  <si>
    <t>Steady</t>
  </si>
  <si>
    <t>T</t>
  </si>
  <si>
    <t>step for 1.25V</t>
  </si>
  <si>
    <t>steady</t>
  </si>
  <si>
    <t>T =</t>
  </si>
  <si>
    <t xml:space="preserve">tau = </t>
  </si>
  <si>
    <t>K</t>
  </si>
  <si>
    <t>step for 1.5V</t>
  </si>
  <si>
    <t>tau</t>
  </si>
  <si>
    <t>MOSFET</t>
  </si>
  <si>
    <t>Power Suply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</si>
</sst>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Many step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dataSeveralAnal!$F$1</c:f>
              <c:strCache>
                <c:ptCount val="1"/>
                <c:pt idx="0">
                  <c:v>0.5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dataSeveralAnal!$F$2:$F$52</c:f>
              <c:numCache>
                <c:formatCode>General</c:formatCode>
                <c:ptCount val="51"/>
                <c:pt idx="0">
                  <c:v>0.15873899999999999</c:v>
                </c:pt>
                <c:pt idx="1">
                  <c:v>0.31745400000000001</c:v>
                </c:pt>
                <c:pt idx="2">
                  <c:v>4.5502659999999997</c:v>
                </c:pt>
                <c:pt idx="3">
                  <c:v>0.84657700000000002</c:v>
                </c:pt>
                <c:pt idx="4">
                  <c:v>1.164031</c:v>
                </c:pt>
                <c:pt idx="5">
                  <c:v>1.322746</c:v>
                </c:pt>
                <c:pt idx="7">
                  <c:v>1.7460580000000001</c:v>
                </c:pt>
                <c:pt idx="8">
                  <c:v>1.693106</c:v>
                </c:pt>
                <c:pt idx="9">
                  <c:v>1.9576789999999999</c:v>
                </c:pt>
                <c:pt idx="11">
                  <c:v>2.1693229999999999</c:v>
                </c:pt>
                <c:pt idx="12">
                  <c:v>2.3280620000000001</c:v>
                </c:pt>
                <c:pt idx="13">
                  <c:v>1.269841</c:v>
                </c:pt>
                <c:pt idx="14">
                  <c:v>2.5396589999999999</c:v>
                </c:pt>
                <c:pt idx="15">
                  <c:v>2.4868009999999998</c:v>
                </c:pt>
                <c:pt idx="16">
                  <c:v>2.4868250000000001</c:v>
                </c:pt>
                <c:pt idx="17">
                  <c:v>2.4868250000000001</c:v>
                </c:pt>
                <c:pt idx="18">
                  <c:v>2.8042319999999998</c:v>
                </c:pt>
                <c:pt idx="19">
                  <c:v>2.9100890000000001</c:v>
                </c:pt>
                <c:pt idx="20">
                  <c:v>2.8571840000000002</c:v>
                </c:pt>
                <c:pt idx="21">
                  <c:v>2.9100419999999998</c:v>
                </c:pt>
                <c:pt idx="22">
                  <c:v>3.0158999999999998</c:v>
                </c:pt>
                <c:pt idx="23">
                  <c:v>3.174639</c:v>
                </c:pt>
                <c:pt idx="24">
                  <c:v>3.0158999999999998</c:v>
                </c:pt>
                <c:pt idx="25">
                  <c:v>3.015924</c:v>
                </c:pt>
                <c:pt idx="26">
                  <c:v>3.1217579999999998</c:v>
                </c:pt>
                <c:pt idx="27">
                  <c:v>3.1745909999999999</c:v>
                </c:pt>
                <c:pt idx="28">
                  <c:v>3.1746150000000002</c:v>
                </c:pt>
                <c:pt idx="29">
                  <c:v>3.1745909999999999</c:v>
                </c:pt>
                <c:pt idx="30">
                  <c:v>2.433872</c:v>
                </c:pt>
                <c:pt idx="31">
                  <c:v>3.2804489999999999</c:v>
                </c:pt>
                <c:pt idx="32">
                  <c:v>3.1217579999999998</c:v>
                </c:pt>
                <c:pt idx="33">
                  <c:v>3.3333780000000002</c:v>
                </c:pt>
                <c:pt idx="34">
                  <c:v>1.798964</c:v>
                </c:pt>
                <c:pt idx="35">
                  <c:v>3.4391880000000001</c:v>
                </c:pt>
                <c:pt idx="36">
                  <c:v>3.4920689999999999</c:v>
                </c:pt>
                <c:pt idx="37">
                  <c:v>3.4921169999999999</c:v>
                </c:pt>
                <c:pt idx="38">
                  <c:v>3.6508560000000001</c:v>
                </c:pt>
                <c:pt idx="39">
                  <c:v>4.7619340000000001</c:v>
                </c:pt>
                <c:pt idx="40">
                  <c:v>3.386307</c:v>
                </c:pt>
                <c:pt idx="41">
                  <c:v>3.3862109999999999</c:v>
                </c:pt>
                <c:pt idx="42">
                  <c:v>3.5449980000000001</c:v>
                </c:pt>
                <c:pt idx="44">
                  <c:v>3.3862589999999999</c:v>
                </c:pt>
                <c:pt idx="45">
                  <c:v>3.3862589999999999</c:v>
                </c:pt>
                <c:pt idx="46">
                  <c:v>3.8095469999999998</c:v>
                </c:pt>
                <c:pt idx="47">
                  <c:v>7.3016350000000001</c:v>
                </c:pt>
                <c:pt idx="48">
                  <c:v>3.7037249999999999</c:v>
                </c:pt>
                <c:pt idx="49">
                  <c:v>3.7566359999999999</c:v>
                </c:pt>
                <c:pt idx="50">
                  <c:v>3.7037249999999999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C-41AB-89C4-4A7A37B02565}"/>
            </c:ext>
          </c:extLst>
        </c:ser>
        <c:ser>
          <c:idx val="1"/>
          <c:order val="1"/>
          <c:tx>
            <c:strRef>
              <c:f>dataSeveralAnal!$I$1</c:f>
              <c:strCache>
                <c:ptCount val="1"/>
                <c:pt idx="0">
                  <c:v>0.75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dataSeveralAnal!$I$2:$I$52</c:f>
              <c:numCache>
                <c:formatCode>General</c:formatCode>
                <c:ptCount val="51"/>
                <c:pt idx="0">
                  <c:v>0.15873000000000001</c:v>
                </c:pt>
                <c:pt idx="1">
                  <c:v>1.058206</c:v>
                </c:pt>
                <c:pt idx="2">
                  <c:v>1.42858</c:v>
                </c:pt>
                <c:pt idx="3">
                  <c:v>1.9047689999999999</c:v>
                </c:pt>
                <c:pt idx="4">
                  <c:v>2.4867849999999998</c:v>
                </c:pt>
                <c:pt idx="5">
                  <c:v>3.8624610000000001</c:v>
                </c:pt>
                <c:pt idx="6">
                  <c:v>3.280446</c:v>
                </c:pt>
                <c:pt idx="7">
                  <c:v>3.5449920000000001</c:v>
                </c:pt>
                <c:pt idx="8">
                  <c:v>3.9682780000000002</c:v>
                </c:pt>
                <c:pt idx="10">
                  <c:v>3.597906</c:v>
                </c:pt>
                <c:pt idx="11">
                  <c:v>4.6561120000000003</c:v>
                </c:pt>
                <c:pt idx="12">
                  <c:v>5.0264949999999997</c:v>
                </c:pt>
                <c:pt idx="14">
                  <c:v>3.4391759999999998</c:v>
                </c:pt>
                <c:pt idx="15">
                  <c:v>5.7143329999999999</c:v>
                </c:pt>
                <c:pt idx="16">
                  <c:v>5.714321</c:v>
                </c:pt>
                <c:pt idx="17">
                  <c:v>9.5238689999999995</c:v>
                </c:pt>
                <c:pt idx="18">
                  <c:v>6.1376090000000003</c:v>
                </c:pt>
                <c:pt idx="19">
                  <c:v>6.2963370000000003</c:v>
                </c:pt>
                <c:pt idx="20">
                  <c:v>6.1905260000000002</c:v>
                </c:pt>
                <c:pt idx="22">
                  <c:v>6.6138029999999999</c:v>
                </c:pt>
                <c:pt idx="23">
                  <c:v>4.8677679999999999</c:v>
                </c:pt>
                <c:pt idx="24">
                  <c:v>6.7725299999999997</c:v>
                </c:pt>
                <c:pt idx="26">
                  <c:v>6.6666840000000001</c:v>
                </c:pt>
                <c:pt idx="27">
                  <c:v>7.0899960000000002</c:v>
                </c:pt>
                <c:pt idx="28">
                  <c:v>6.9312569999999996</c:v>
                </c:pt>
                <c:pt idx="30">
                  <c:v>6.9841620000000004</c:v>
                </c:pt>
                <c:pt idx="31">
                  <c:v>7.3545689999999997</c:v>
                </c:pt>
                <c:pt idx="32">
                  <c:v>7.3545689999999997</c:v>
                </c:pt>
                <c:pt idx="33">
                  <c:v>10.317539999999999</c:v>
                </c:pt>
                <c:pt idx="34">
                  <c:v>7.2487589999999997</c:v>
                </c:pt>
                <c:pt idx="35">
                  <c:v>7.407451</c:v>
                </c:pt>
                <c:pt idx="36">
                  <c:v>2.3280620000000001</c:v>
                </c:pt>
                <c:pt idx="37">
                  <c:v>11.217022</c:v>
                </c:pt>
                <c:pt idx="38">
                  <c:v>7.4603320000000002</c:v>
                </c:pt>
                <c:pt idx="39">
                  <c:v>7.354546</c:v>
                </c:pt>
                <c:pt idx="40">
                  <c:v>7.3544980000000004</c:v>
                </c:pt>
                <c:pt idx="41">
                  <c:v>10.952425</c:v>
                </c:pt>
                <c:pt idx="42">
                  <c:v>7.354546</c:v>
                </c:pt>
                <c:pt idx="43">
                  <c:v>6.0317990000000004</c:v>
                </c:pt>
                <c:pt idx="44">
                  <c:v>7.5132849999999998</c:v>
                </c:pt>
                <c:pt idx="45">
                  <c:v>7.5132849999999998</c:v>
                </c:pt>
                <c:pt idx="46">
                  <c:v>7.8836440000000003</c:v>
                </c:pt>
                <c:pt idx="47">
                  <c:v>7.7778280000000004</c:v>
                </c:pt>
                <c:pt idx="48">
                  <c:v>8.0952940000000009</c:v>
                </c:pt>
                <c:pt idx="49">
                  <c:v>9.6296970000000002</c:v>
                </c:pt>
                <c:pt idx="50">
                  <c:v>7.8836529999999998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C-41AB-89C4-4A7A37B02565}"/>
            </c:ext>
          </c:extLst>
        </c:ser>
        <c:ser>
          <c:idx val="2"/>
          <c:order val="2"/>
          <c:tx>
            <c:strRef>
              <c:f>dataSeveralAnal!$L$1</c:f>
              <c:strCache>
                <c:ptCount val="1"/>
                <c:pt idx="0">
                  <c:v>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dataSeveralAnal!$L$2:$L$52</c:f>
              <c:numCache>
                <c:formatCode>General</c:formatCode>
                <c:ptCount val="51"/>
                <c:pt idx="0">
                  <c:v>0.21163199999999999</c:v>
                </c:pt>
                <c:pt idx="1">
                  <c:v>1.216936</c:v>
                </c:pt>
                <c:pt idx="2">
                  <c:v>2.2222400000000002</c:v>
                </c:pt>
                <c:pt idx="3">
                  <c:v>3.4920810000000002</c:v>
                </c:pt>
                <c:pt idx="4">
                  <c:v>3.6508319999999999</c:v>
                </c:pt>
                <c:pt idx="5">
                  <c:v>4.1799189999999999</c:v>
                </c:pt>
                <c:pt idx="6">
                  <c:v>4.9735779999999998</c:v>
                </c:pt>
                <c:pt idx="7">
                  <c:v>8.095288</c:v>
                </c:pt>
                <c:pt idx="8">
                  <c:v>3.9153579999999999</c:v>
                </c:pt>
                <c:pt idx="9">
                  <c:v>6.4550640000000001</c:v>
                </c:pt>
                <c:pt idx="10">
                  <c:v>6.7196249999999997</c:v>
                </c:pt>
                <c:pt idx="11">
                  <c:v>7.0899960000000002</c:v>
                </c:pt>
                <c:pt idx="12">
                  <c:v>7.2487120000000003</c:v>
                </c:pt>
                <c:pt idx="13">
                  <c:v>4.9735550000000002</c:v>
                </c:pt>
                <c:pt idx="14">
                  <c:v>8.1481929999999991</c:v>
                </c:pt>
                <c:pt idx="15">
                  <c:v>7.9894780000000001</c:v>
                </c:pt>
                <c:pt idx="16">
                  <c:v>8.4127430000000007</c:v>
                </c:pt>
                <c:pt idx="17">
                  <c:v>8.5714819999999996</c:v>
                </c:pt>
                <c:pt idx="18">
                  <c:v>8.4127430000000007</c:v>
                </c:pt>
                <c:pt idx="19">
                  <c:v>8.7831499999999991</c:v>
                </c:pt>
                <c:pt idx="20">
                  <c:v>8.941865</c:v>
                </c:pt>
                <c:pt idx="21">
                  <c:v>8.9947700000000008</c:v>
                </c:pt>
                <c:pt idx="22">
                  <c:v>9.1006280000000004</c:v>
                </c:pt>
                <c:pt idx="23">
                  <c:v>9.2063900000000007</c:v>
                </c:pt>
                <c:pt idx="24">
                  <c:v>9.2064380000000003</c:v>
                </c:pt>
                <c:pt idx="25">
                  <c:v>9.4180580000000003</c:v>
                </c:pt>
                <c:pt idx="26">
                  <c:v>9.6297259999999998</c:v>
                </c:pt>
                <c:pt idx="27">
                  <c:v>9.6296789999999994</c:v>
                </c:pt>
                <c:pt idx="28">
                  <c:v>9.6296789999999994</c:v>
                </c:pt>
                <c:pt idx="29">
                  <c:v>9.6825960000000002</c:v>
                </c:pt>
                <c:pt idx="30">
                  <c:v>10.052973</c:v>
                </c:pt>
                <c:pt idx="31">
                  <c:v>7.7249230000000004</c:v>
                </c:pt>
                <c:pt idx="32">
                  <c:v>9.9471539999999994</c:v>
                </c:pt>
                <c:pt idx="33">
                  <c:v>9.8942479999999993</c:v>
                </c:pt>
                <c:pt idx="34">
                  <c:v>10.158795</c:v>
                </c:pt>
                <c:pt idx="35">
                  <c:v>10.317534</c:v>
                </c:pt>
                <c:pt idx="36">
                  <c:v>10.105872</c:v>
                </c:pt>
                <c:pt idx="37">
                  <c:v>9.8942580000000007</c:v>
                </c:pt>
                <c:pt idx="38">
                  <c:v>10.000068000000001</c:v>
                </c:pt>
                <c:pt idx="39">
                  <c:v>10.052991</c:v>
                </c:pt>
                <c:pt idx="40">
                  <c:v>10.15879</c:v>
                </c:pt>
                <c:pt idx="41">
                  <c:v>10.000062</c:v>
                </c:pt>
                <c:pt idx="42">
                  <c:v>10.052991</c:v>
                </c:pt>
                <c:pt idx="43">
                  <c:v>10.158801</c:v>
                </c:pt>
                <c:pt idx="44">
                  <c:v>10.370445</c:v>
                </c:pt>
                <c:pt idx="45">
                  <c:v>9.6296789999999994</c:v>
                </c:pt>
                <c:pt idx="46">
                  <c:v>10.052991</c:v>
                </c:pt>
                <c:pt idx="47">
                  <c:v>10.158777000000001</c:v>
                </c:pt>
                <c:pt idx="48">
                  <c:v>10.423325999999999</c:v>
                </c:pt>
                <c:pt idx="49">
                  <c:v>10.423349999999999</c:v>
                </c:pt>
                <c:pt idx="50">
                  <c:v>10.264587000000001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FC-41AB-89C4-4A7A37B02565}"/>
            </c:ext>
          </c:extLst>
        </c:ser>
        <c:ser>
          <c:idx val="3"/>
          <c:order val="3"/>
          <c:tx>
            <c:strRef>
              <c:f>dataSeveralAnal!$O$1</c:f>
              <c:strCache>
                <c:ptCount val="1"/>
                <c:pt idx="0">
                  <c:v>1.25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dataSeveralAnal!$O$2:$O$52</c:f>
              <c:numCache>
                <c:formatCode>General</c:formatCode>
                <c:ptCount val="51"/>
                <c:pt idx="0">
                  <c:v>1.005298</c:v>
                </c:pt>
                <c:pt idx="1">
                  <c:v>4.867756</c:v>
                </c:pt>
                <c:pt idx="2">
                  <c:v>3.5449950000000001</c:v>
                </c:pt>
                <c:pt idx="3">
                  <c:v>4.4444679999999996</c:v>
                </c:pt>
                <c:pt idx="4">
                  <c:v>5.0793980000000003</c:v>
                </c:pt>
                <c:pt idx="5">
                  <c:v>9.7355090000000004</c:v>
                </c:pt>
                <c:pt idx="6">
                  <c:v>6.5608909999999998</c:v>
                </c:pt>
                <c:pt idx="7">
                  <c:v>7.6190959999999999</c:v>
                </c:pt>
                <c:pt idx="8">
                  <c:v>7.7778270000000003</c:v>
                </c:pt>
                <c:pt idx="9">
                  <c:v>12.222305</c:v>
                </c:pt>
                <c:pt idx="10">
                  <c:v>7.1429080000000003</c:v>
                </c:pt>
                <c:pt idx="11">
                  <c:v>8.888954</c:v>
                </c:pt>
                <c:pt idx="12">
                  <c:v>9.4180530000000005</c:v>
                </c:pt>
                <c:pt idx="13">
                  <c:v>12.910128</c:v>
                </c:pt>
                <c:pt idx="14">
                  <c:v>9.7355250000000009</c:v>
                </c:pt>
                <c:pt idx="15">
                  <c:v>9.9471450000000008</c:v>
                </c:pt>
                <c:pt idx="16">
                  <c:v>10.211695000000001</c:v>
                </c:pt>
                <c:pt idx="17">
                  <c:v>12.804316999999999</c:v>
                </c:pt>
                <c:pt idx="18">
                  <c:v>10.687851999999999</c:v>
                </c:pt>
                <c:pt idx="19">
                  <c:v>5.8201309999999999</c:v>
                </c:pt>
                <c:pt idx="20">
                  <c:v>10.740829</c:v>
                </c:pt>
                <c:pt idx="21">
                  <c:v>12.010645999999999</c:v>
                </c:pt>
                <c:pt idx="22">
                  <c:v>11.005354000000001</c:v>
                </c:pt>
                <c:pt idx="23">
                  <c:v>11.217022</c:v>
                </c:pt>
                <c:pt idx="24">
                  <c:v>11.375737000000001</c:v>
                </c:pt>
                <c:pt idx="25">
                  <c:v>12.222314000000001</c:v>
                </c:pt>
                <c:pt idx="26">
                  <c:v>11.269926999999999</c:v>
                </c:pt>
                <c:pt idx="27">
                  <c:v>11.269902999999999</c:v>
                </c:pt>
                <c:pt idx="28">
                  <c:v>11.058235</c:v>
                </c:pt>
                <c:pt idx="29">
                  <c:v>11.904859999999999</c:v>
                </c:pt>
                <c:pt idx="30">
                  <c:v>11.481571000000001</c:v>
                </c:pt>
                <c:pt idx="31">
                  <c:v>11.481571000000001</c:v>
                </c:pt>
                <c:pt idx="32">
                  <c:v>11.746109000000001</c:v>
                </c:pt>
                <c:pt idx="33">
                  <c:v>10.423349999999999</c:v>
                </c:pt>
                <c:pt idx="34">
                  <c:v>11.851933000000001</c:v>
                </c:pt>
                <c:pt idx="35">
                  <c:v>11.640288</c:v>
                </c:pt>
                <c:pt idx="36">
                  <c:v>11.957746999999999</c:v>
                </c:pt>
                <c:pt idx="37">
                  <c:v>11.587376000000001</c:v>
                </c:pt>
                <c:pt idx="38">
                  <c:v>11.428637</c:v>
                </c:pt>
                <c:pt idx="39">
                  <c:v>11.428654999999999</c:v>
                </c:pt>
                <c:pt idx="40">
                  <c:v>11.746119999999999</c:v>
                </c:pt>
                <c:pt idx="41">
                  <c:v>11.799037999999999</c:v>
                </c:pt>
                <c:pt idx="42">
                  <c:v>11.799026</c:v>
                </c:pt>
                <c:pt idx="43">
                  <c:v>11.904847999999999</c:v>
                </c:pt>
                <c:pt idx="44">
                  <c:v>11.904847999999999</c:v>
                </c:pt>
                <c:pt idx="45">
                  <c:v>11.693192</c:v>
                </c:pt>
                <c:pt idx="46">
                  <c:v>11.587358</c:v>
                </c:pt>
                <c:pt idx="47">
                  <c:v>9.0476989999999997</c:v>
                </c:pt>
                <c:pt idx="48">
                  <c:v>11.693192</c:v>
                </c:pt>
                <c:pt idx="49">
                  <c:v>11.640286</c:v>
                </c:pt>
                <c:pt idx="50">
                  <c:v>11.481547000000001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FC-41AB-89C4-4A7A37B02565}"/>
            </c:ext>
          </c:extLst>
        </c:ser>
        <c:ser>
          <c:idx val="4"/>
          <c:order val="4"/>
          <c:tx>
            <c:strRef>
              <c:f>dataSeveralAnal!$X$1</c:f>
              <c:strCache>
                <c:ptCount val="1"/>
                <c:pt idx="0">
                  <c:v>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dataSeveralAnal!$X$2:$X$52</c:f>
              <c:numCache>
                <c:formatCode>General</c:formatCode>
                <c:ptCount val="51"/>
                <c:pt idx="0">
                  <c:v>0.15873300000000001</c:v>
                </c:pt>
                <c:pt idx="1">
                  <c:v>2.4867889999999999</c:v>
                </c:pt>
                <c:pt idx="2">
                  <c:v>4.6032010000000003</c:v>
                </c:pt>
                <c:pt idx="3">
                  <c:v>6.5608919999999999</c:v>
                </c:pt>
                <c:pt idx="4">
                  <c:v>9.3651450000000001</c:v>
                </c:pt>
                <c:pt idx="5">
                  <c:v>8.8360339999999997</c:v>
                </c:pt>
                <c:pt idx="6">
                  <c:v>10.052978</c:v>
                </c:pt>
                <c:pt idx="7">
                  <c:v>10.634985</c:v>
                </c:pt>
                <c:pt idx="8">
                  <c:v>12.592676000000001</c:v>
                </c:pt>
                <c:pt idx="9">
                  <c:v>11.428654999999999</c:v>
                </c:pt>
                <c:pt idx="10">
                  <c:v>12.010676</c:v>
                </c:pt>
                <c:pt idx="11">
                  <c:v>12.169397</c:v>
                </c:pt>
                <c:pt idx="12">
                  <c:v>13.968349</c:v>
                </c:pt>
                <c:pt idx="13">
                  <c:v>12.804316999999999</c:v>
                </c:pt>
                <c:pt idx="14">
                  <c:v>10.634995</c:v>
                </c:pt>
                <c:pt idx="15">
                  <c:v>13.280511000000001</c:v>
                </c:pt>
                <c:pt idx="16">
                  <c:v>17.090033999999999</c:v>
                </c:pt>
                <c:pt idx="17">
                  <c:v>13.492155</c:v>
                </c:pt>
                <c:pt idx="18">
                  <c:v>13.545083999999999</c:v>
                </c:pt>
                <c:pt idx="19">
                  <c:v>13.386297000000001</c:v>
                </c:pt>
                <c:pt idx="20">
                  <c:v>14.920735000000001</c:v>
                </c:pt>
                <c:pt idx="21">
                  <c:v>13.439249999999999</c:v>
                </c:pt>
                <c:pt idx="22">
                  <c:v>13.386369</c:v>
                </c:pt>
                <c:pt idx="23">
                  <c:v>13.227606</c:v>
                </c:pt>
                <c:pt idx="24">
                  <c:v>14.76202</c:v>
                </c:pt>
                <c:pt idx="25">
                  <c:v>13.650893999999999</c:v>
                </c:pt>
                <c:pt idx="26">
                  <c:v>13.650893999999999</c:v>
                </c:pt>
                <c:pt idx="27">
                  <c:v>13.915438</c:v>
                </c:pt>
                <c:pt idx="28">
                  <c:v>12.910133999999999</c:v>
                </c:pt>
                <c:pt idx="29">
                  <c:v>14.074171</c:v>
                </c:pt>
                <c:pt idx="30">
                  <c:v>14.338717000000001</c:v>
                </c:pt>
                <c:pt idx="31">
                  <c:v>14.179987000000001</c:v>
                </c:pt>
                <c:pt idx="32">
                  <c:v>13.91545</c:v>
                </c:pt>
                <c:pt idx="33">
                  <c:v>11.693192</c:v>
                </c:pt>
                <c:pt idx="34">
                  <c:v>13.862527</c:v>
                </c:pt>
                <c:pt idx="35">
                  <c:v>13.597965</c:v>
                </c:pt>
                <c:pt idx="36">
                  <c:v>13.809597999999999</c:v>
                </c:pt>
                <c:pt idx="37">
                  <c:v>13.756669</c:v>
                </c:pt>
                <c:pt idx="38">
                  <c:v>12.592673</c:v>
                </c:pt>
                <c:pt idx="39">
                  <c:v>13.915443</c:v>
                </c:pt>
                <c:pt idx="40">
                  <c:v>14.127110999999999</c:v>
                </c:pt>
                <c:pt idx="41">
                  <c:v>14.232874000000001</c:v>
                </c:pt>
                <c:pt idx="42">
                  <c:v>13.862513999999999</c:v>
                </c:pt>
                <c:pt idx="43">
                  <c:v>14.021254000000001</c:v>
                </c:pt>
                <c:pt idx="44">
                  <c:v>11.746119999999999</c:v>
                </c:pt>
                <c:pt idx="45">
                  <c:v>13.015938</c:v>
                </c:pt>
                <c:pt idx="46">
                  <c:v>13.968372</c:v>
                </c:pt>
                <c:pt idx="47">
                  <c:v>13.809585999999999</c:v>
                </c:pt>
                <c:pt idx="48">
                  <c:v>13.809585999999999</c:v>
                </c:pt>
                <c:pt idx="49">
                  <c:v>14.179987000000001</c:v>
                </c:pt>
                <c:pt idx="50">
                  <c:v>13.862527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FC-41AB-89C4-4A7A37B02565}"/>
            </c:ext>
          </c:extLst>
        </c:ser>
        <c:ser>
          <c:idx val="5"/>
          <c:order val="5"/>
          <c:tx>
            <c:strRef>
              <c:f>dataSeveralAnal!$AG$1</c:f>
              <c:strCache>
                <c:ptCount val="1"/>
                <c:pt idx="0">
                  <c:v>2.75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dataSeveralAnal!$AG$2:$AG$52</c:f>
              <c:numCache>
                <c:formatCode>General</c:formatCode>
                <c:ptCount val="51"/>
                <c:pt idx="0">
                  <c:v>0.52910999999999997</c:v>
                </c:pt>
                <c:pt idx="1">
                  <c:v>3.9682979999999999</c:v>
                </c:pt>
                <c:pt idx="2">
                  <c:v>3.8095590000000001</c:v>
                </c:pt>
                <c:pt idx="3">
                  <c:v>8.6243870000000005</c:v>
                </c:pt>
                <c:pt idx="4">
                  <c:v>10.15879</c:v>
                </c:pt>
                <c:pt idx="5">
                  <c:v>11.322844999999999</c:v>
                </c:pt>
                <c:pt idx="6">
                  <c:v>11.904836</c:v>
                </c:pt>
                <c:pt idx="7">
                  <c:v>12.328099999999999</c:v>
                </c:pt>
                <c:pt idx="8">
                  <c:v>14.550328</c:v>
                </c:pt>
                <c:pt idx="9">
                  <c:v>11.428642</c:v>
                </c:pt>
                <c:pt idx="10">
                  <c:v>14.179969</c:v>
                </c:pt>
                <c:pt idx="11">
                  <c:v>11.904836</c:v>
                </c:pt>
                <c:pt idx="12">
                  <c:v>17.619157999999999</c:v>
                </c:pt>
                <c:pt idx="13">
                  <c:v>14.444494000000001</c:v>
                </c:pt>
                <c:pt idx="14">
                  <c:v>14.550304000000001</c:v>
                </c:pt>
                <c:pt idx="15">
                  <c:v>14.391613</c:v>
                </c:pt>
                <c:pt idx="16">
                  <c:v>14.391613</c:v>
                </c:pt>
                <c:pt idx="17">
                  <c:v>14.497453999999999</c:v>
                </c:pt>
                <c:pt idx="18">
                  <c:v>14.762003</c:v>
                </c:pt>
                <c:pt idx="19">
                  <c:v>14.973644999999999</c:v>
                </c:pt>
                <c:pt idx="20">
                  <c:v>17.301701999999999</c:v>
                </c:pt>
                <c:pt idx="21">
                  <c:v>14.867822</c:v>
                </c:pt>
                <c:pt idx="22">
                  <c:v>14.60327</c:v>
                </c:pt>
                <c:pt idx="23">
                  <c:v>14.550352</c:v>
                </c:pt>
                <c:pt idx="24">
                  <c:v>15.873135</c:v>
                </c:pt>
                <c:pt idx="25">
                  <c:v>14.285814999999999</c:v>
                </c:pt>
                <c:pt idx="26">
                  <c:v>14.86783</c:v>
                </c:pt>
                <c:pt idx="27">
                  <c:v>14.920735000000001</c:v>
                </c:pt>
                <c:pt idx="28">
                  <c:v>16.084765999999998</c:v>
                </c:pt>
                <c:pt idx="29">
                  <c:v>15.026593</c:v>
                </c:pt>
                <c:pt idx="30">
                  <c:v>14.709091000000001</c:v>
                </c:pt>
                <c:pt idx="31">
                  <c:v>14.709091000000001</c:v>
                </c:pt>
                <c:pt idx="32">
                  <c:v>14.179969</c:v>
                </c:pt>
                <c:pt idx="33">
                  <c:v>14.603281000000001</c:v>
                </c:pt>
                <c:pt idx="34">
                  <c:v>14.338684000000001</c:v>
                </c:pt>
                <c:pt idx="35">
                  <c:v>14.603281000000001</c:v>
                </c:pt>
                <c:pt idx="36">
                  <c:v>14.97364</c:v>
                </c:pt>
                <c:pt idx="37">
                  <c:v>14.97364</c:v>
                </c:pt>
                <c:pt idx="38">
                  <c:v>14.867825</c:v>
                </c:pt>
                <c:pt idx="39">
                  <c:v>14.60327</c:v>
                </c:pt>
                <c:pt idx="40">
                  <c:v>14.656186</c:v>
                </c:pt>
                <c:pt idx="41">
                  <c:v>14.920733999999999</c:v>
                </c:pt>
                <c:pt idx="42">
                  <c:v>15.185290999999999</c:v>
                </c:pt>
                <c:pt idx="43">
                  <c:v>14.762003</c:v>
                </c:pt>
                <c:pt idx="44">
                  <c:v>14.814908000000001</c:v>
                </c:pt>
                <c:pt idx="45">
                  <c:v>11.904847999999999</c:v>
                </c:pt>
                <c:pt idx="46">
                  <c:v>14.497446999999999</c:v>
                </c:pt>
                <c:pt idx="47">
                  <c:v>14.656174999999999</c:v>
                </c:pt>
                <c:pt idx="48">
                  <c:v>14.603256999999999</c:v>
                </c:pt>
                <c:pt idx="49">
                  <c:v>14.814878</c:v>
                </c:pt>
                <c:pt idx="50">
                  <c:v>15.132379999999999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FC-41AB-89C4-4A7A37B02565}"/>
            </c:ext>
          </c:extLst>
        </c:ser>
        <c:ser>
          <c:idx val="6"/>
          <c:order val="6"/>
          <c:tx>
            <c:strRef>
              <c:f>dataSeveralAnal!$AJ$1</c:f>
              <c:strCache>
                <c:ptCount val="1"/>
                <c:pt idx="0">
                  <c:v>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dataSeveralAnal!$AJ$2:$AJ$52</c:f>
              <c:numCache>
                <c:formatCode>General</c:formatCode>
                <c:ptCount val="51"/>
                <c:pt idx="0">
                  <c:v>0.10582800000000001</c:v>
                </c:pt>
                <c:pt idx="1">
                  <c:v>3.545004</c:v>
                </c:pt>
                <c:pt idx="2">
                  <c:v>6.2434320000000003</c:v>
                </c:pt>
                <c:pt idx="3">
                  <c:v>5.5026890000000002</c:v>
                </c:pt>
                <c:pt idx="4">
                  <c:v>10.529184000000001</c:v>
                </c:pt>
                <c:pt idx="5">
                  <c:v>11.640286</c:v>
                </c:pt>
                <c:pt idx="6">
                  <c:v>12.645591</c:v>
                </c:pt>
                <c:pt idx="7">
                  <c:v>13.121772</c:v>
                </c:pt>
                <c:pt idx="8">
                  <c:v>13.33344</c:v>
                </c:pt>
                <c:pt idx="9">
                  <c:v>13.915443</c:v>
                </c:pt>
                <c:pt idx="10">
                  <c:v>13.809585999999999</c:v>
                </c:pt>
                <c:pt idx="11">
                  <c:v>14.550328</c:v>
                </c:pt>
                <c:pt idx="12">
                  <c:v>14.391613</c:v>
                </c:pt>
                <c:pt idx="13">
                  <c:v>14.65621</c:v>
                </c:pt>
                <c:pt idx="14">
                  <c:v>14.444566</c:v>
                </c:pt>
                <c:pt idx="15">
                  <c:v>14.65621</c:v>
                </c:pt>
                <c:pt idx="16">
                  <c:v>14.603281000000001</c:v>
                </c:pt>
                <c:pt idx="17">
                  <c:v>14.76202</c:v>
                </c:pt>
                <c:pt idx="18">
                  <c:v>14.76202</c:v>
                </c:pt>
                <c:pt idx="19">
                  <c:v>15.132379999999999</c:v>
                </c:pt>
                <c:pt idx="20">
                  <c:v>15.449846000000001</c:v>
                </c:pt>
                <c:pt idx="21">
                  <c:v>15.079464</c:v>
                </c:pt>
                <c:pt idx="22">
                  <c:v>15.132365999999999</c:v>
                </c:pt>
                <c:pt idx="23">
                  <c:v>15.079463000000001</c:v>
                </c:pt>
                <c:pt idx="24">
                  <c:v>15.132368</c:v>
                </c:pt>
                <c:pt idx="25">
                  <c:v>15.026534</c:v>
                </c:pt>
                <c:pt idx="26">
                  <c:v>15.026558</c:v>
                </c:pt>
                <c:pt idx="27">
                  <c:v>15.079463000000001</c:v>
                </c:pt>
                <c:pt idx="28">
                  <c:v>14.86783</c:v>
                </c:pt>
                <c:pt idx="29">
                  <c:v>15.079497999999999</c:v>
                </c:pt>
                <c:pt idx="30">
                  <c:v>15.343999999999999</c:v>
                </c:pt>
                <c:pt idx="31">
                  <c:v>15.026546</c:v>
                </c:pt>
                <c:pt idx="32">
                  <c:v>14.65621</c:v>
                </c:pt>
                <c:pt idx="33">
                  <c:v>14.76202</c:v>
                </c:pt>
                <c:pt idx="34">
                  <c:v>14.920759</c:v>
                </c:pt>
                <c:pt idx="35">
                  <c:v>14.338732</c:v>
                </c:pt>
                <c:pt idx="36">
                  <c:v>14.76202</c:v>
                </c:pt>
                <c:pt idx="37">
                  <c:v>13.227653999999999</c:v>
                </c:pt>
                <c:pt idx="38">
                  <c:v>13.227653999999999</c:v>
                </c:pt>
                <c:pt idx="39">
                  <c:v>14.97364</c:v>
                </c:pt>
                <c:pt idx="40">
                  <c:v>15.079469</c:v>
                </c:pt>
                <c:pt idx="41">
                  <c:v>16.825512</c:v>
                </c:pt>
                <c:pt idx="42">
                  <c:v>12.804320000000001</c:v>
                </c:pt>
                <c:pt idx="43">
                  <c:v>15.132389</c:v>
                </c:pt>
                <c:pt idx="44">
                  <c:v>14.973635</c:v>
                </c:pt>
                <c:pt idx="45">
                  <c:v>17.566262999999999</c:v>
                </c:pt>
                <c:pt idx="46">
                  <c:v>14.656174999999999</c:v>
                </c:pt>
                <c:pt idx="47">
                  <c:v>14.656199000000001</c:v>
                </c:pt>
                <c:pt idx="48">
                  <c:v>15.132391999999999</c:v>
                </c:pt>
                <c:pt idx="49">
                  <c:v>18.254114000000001</c:v>
                </c:pt>
                <c:pt idx="50">
                  <c:v>14.973617000000001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FC-41AB-89C4-4A7A37B02565}"/>
            </c:ext>
          </c:extLst>
        </c:ser>
        <c:ser>
          <c:idx val="7"/>
          <c:order val="7"/>
          <c:tx>
            <c:strRef>
              <c:f>dataSeveralAnal!$AP$1</c:f>
              <c:strCache>
                <c:ptCount val="1"/>
                <c:pt idx="0">
                  <c:v>3.5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dataSeveralAnal!$AP$2:$AP$52</c:f>
              <c:numCache>
                <c:formatCode>General</c:formatCode>
                <c:ptCount val="51"/>
                <c:pt idx="0">
                  <c:v>1.5344139999999999</c:v>
                </c:pt>
                <c:pt idx="1">
                  <c:v>5.4497840000000002</c:v>
                </c:pt>
                <c:pt idx="2">
                  <c:v>5.8201429999999998</c:v>
                </c:pt>
                <c:pt idx="3">
                  <c:v>10.370433999999999</c:v>
                </c:pt>
                <c:pt idx="4">
                  <c:v>12.857246</c:v>
                </c:pt>
                <c:pt idx="5">
                  <c:v>12.857234999999999</c:v>
                </c:pt>
                <c:pt idx="6">
                  <c:v>13.333392</c:v>
                </c:pt>
                <c:pt idx="7">
                  <c:v>13.862513999999999</c:v>
                </c:pt>
                <c:pt idx="8">
                  <c:v>17.672062</c:v>
                </c:pt>
                <c:pt idx="9">
                  <c:v>14.920735000000001</c:v>
                </c:pt>
                <c:pt idx="10">
                  <c:v>14.973617000000001</c:v>
                </c:pt>
                <c:pt idx="11">
                  <c:v>14.074159</c:v>
                </c:pt>
                <c:pt idx="12">
                  <c:v>17.672062</c:v>
                </c:pt>
                <c:pt idx="13">
                  <c:v>14.656162</c:v>
                </c:pt>
                <c:pt idx="14">
                  <c:v>14.761972</c:v>
                </c:pt>
                <c:pt idx="15">
                  <c:v>14.761972</c:v>
                </c:pt>
                <c:pt idx="16">
                  <c:v>16.084761</c:v>
                </c:pt>
                <c:pt idx="17">
                  <c:v>15.502746</c:v>
                </c:pt>
                <c:pt idx="18">
                  <c:v>15.34402</c:v>
                </c:pt>
                <c:pt idx="19">
                  <c:v>15.555654000000001</c:v>
                </c:pt>
                <c:pt idx="20">
                  <c:v>15.291116000000001</c:v>
                </c:pt>
                <c:pt idx="21">
                  <c:v>13.333410000000001</c:v>
                </c:pt>
                <c:pt idx="22">
                  <c:v>15.026564</c:v>
                </c:pt>
                <c:pt idx="23">
                  <c:v>14.97364</c:v>
                </c:pt>
                <c:pt idx="24">
                  <c:v>14.973653000000001</c:v>
                </c:pt>
                <c:pt idx="25">
                  <c:v>15.079473999999999</c:v>
                </c:pt>
                <c:pt idx="26">
                  <c:v>15.238189999999999</c:v>
                </c:pt>
                <c:pt idx="27">
                  <c:v>15.132356</c:v>
                </c:pt>
                <c:pt idx="28">
                  <c:v>15.343999999999999</c:v>
                </c:pt>
                <c:pt idx="29">
                  <c:v>15.185285</c:v>
                </c:pt>
                <c:pt idx="30">
                  <c:v>14.709066999999999</c:v>
                </c:pt>
                <c:pt idx="31">
                  <c:v>14.86783</c:v>
                </c:pt>
                <c:pt idx="32">
                  <c:v>14.920712</c:v>
                </c:pt>
                <c:pt idx="33">
                  <c:v>14.709091000000001</c:v>
                </c:pt>
                <c:pt idx="34">
                  <c:v>13.174677000000001</c:v>
                </c:pt>
                <c:pt idx="35">
                  <c:v>15.291071000000001</c:v>
                </c:pt>
                <c:pt idx="36">
                  <c:v>15.291071000000001</c:v>
                </c:pt>
                <c:pt idx="37">
                  <c:v>15.449840999999999</c:v>
                </c:pt>
                <c:pt idx="38">
                  <c:v>15.502751</c:v>
                </c:pt>
                <c:pt idx="39">
                  <c:v>15.396922999999999</c:v>
                </c:pt>
                <c:pt idx="40">
                  <c:v>15.502758999999999</c:v>
                </c:pt>
                <c:pt idx="41">
                  <c:v>15.291098</c:v>
                </c:pt>
                <c:pt idx="42">
                  <c:v>15.396941</c:v>
                </c:pt>
                <c:pt idx="43">
                  <c:v>14.973653000000001</c:v>
                </c:pt>
                <c:pt idx="44">
                  <c:v>13.174701000000001</c:v>
                </c:pt>
                <c:pt idx="45">
                  <c:v>15.555656000000001</c:v>
                </c:pt>
                <c:pt idx="46">
                  <c:v>15.238189999999999</c:v>
                </c:pt>
                <c:pt idx="47">
                  <c:v>15.079451000000001</c:v>
                </c:pt>
                <c:pt idx="48">
                  <c:v>15.555643999999999</c:v>
                </c:pt>
                <c:pt idx="49">
                  <c:v>15.396905</c:v>
                </c:pt>
                <c:pt idx="50">
                  <c:v>15.132403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FC-41AB-89C4-4A7A37B02565}"/>
            </c:ext>
          </c:extLst>
        </c:ser>
        <c:ser>
          <c:idx val="8"/>
          <c:order val="8"/>
          <c:tx>
            <c:strRef>
              <c:f>dataSeveralAnal!$BB$1</c:f>
              <c:strCache>
                <c:ptCount val="1"/>
                <c:pt idx="0">
                  <c:v>4.75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dataSeveralAnal!$BB$2:$BB$52</c:f>
              <c:numCache>
                <c:formatCode>General</c:formatCode>
                <c:ptCount val="51"/>
                <c:pt idx="0">
                  <c:v>0.317469</c:v>
                </c:pt>
                <c:pt idx="1">
                  <c:v>2.433881</c:v>
                </c:pt>
                <c:pt idx="2">
                  <c:v>9.6825960000000002</c:v>
                </c:pt>
                <c:pt idx="3">
                  <c:v>12.698494</c:v>
                </c:pt>
                <c:pt idx="4">
                  <c:v>14.762003999999999</c:v>
                </c:pt>
                <c:pt idx="5">
                  <c:v>14.338715000000001</c:v>
                </c:pt>
                <c:pt idx="6">
                  <c:v>14.762003</c:v>
                </c:pt>
                <c:pt idx="7">
                  <c:v>15.079463000000001</c:v>
                </c:pt>
                <c:pt idx="8">
                  <c:v>15.873122</c:v>
                </c:pt>
                <c:pt idx="9">
                  <c:v>15.608573</c:v>
                </c:pt>
                <c:pt idx="10">
                  <c:v>15.608549</c:v>
                </c:pt>
                <c:pt idx="11">
                  <c:v>15.449833999999999</c:v>
                </c:pt>
                <c:pt idx="12">
                  <c:v>15.978956</c:v>
                </c:pt>
                <c:pt idx="13">
                  <c:v>15.767312</c:v>
                </c:pt>
                <c:pt idx="14">
                  <c:v>15.449833999999999</c:v>
                </c:pt>
                <c:pt idx="15">
                  <c:v>15.555668000000001</c:v>
                </c:pt>
                <c:pt idx="16">
                  <c:v>18.148256</c:v>
                </c:pt>
                <c:pt idx="17">
                  <c:v>15.502739</c:v>
                </c:pt>
                <c:pt idx="18">
                  <c:v>15.555668000000001</c:v>
                </c:pt>
                <c:pt idx="19">
                  <c:v>15.555668000000001</c:v>
                </c:pt>
                <c:pt idx="20">
                  <c:v>15.555668000000001</c:v>
                </c:pt>
                <c:pt idx="21">
                  <c:v>15.71439</c:v>
                </c:pt>
                <c:pt idx="22">
                  <c:v>15.555655</c:v>
                </c:pt>
                <c:pt idx="23">
                  <c:v>16.084765999999998</c:v>
                </c:pt>
                <c:pt idx="24">
                  <c:v>16.084765999999998</c:v>
                </c:pt>
                <c:pt idx="25">
                  <c:v>15.714383</c:v>
                </c:pt>
                <c:pt idx="26">
                  <c:v>15.714377000000001</c:v>
                </c:pt>
                <c:pt idx="27">
                  <c:v>15.396929</c:v>
                </c:pt>
                <c:pt idx="28">
                  <c:v>18.09535</c:v>
                </c:pt>
                <c:pt idx="29">
                  <c:v>15.820217</c:v>
                </c:pt>
                <c:pt idx="30">
                  <c:v>14.444518</c:v>
                </c:pt>
                <c:pt idx="31">
                  <c:v>15.820217</c:v>
                </c:pt>
                <c:pt idx="32">
                  <c:v>17.619157999999999</c:v>
                </c:pt>
                <c:pt idx="33">
                  <c:v>15.873146</c:v>
                </c:pt>
                <c:pt idx="34">
                  <c:v>15.767312</c:v>
                </c:pt>
                <c:pt idx="35">
                  <c:v>13.597941</c:v>
                </c:pt>
                <c:pt idx="36">
                  <c:v>16.984272000000001</c:v>
                </c:pt>
                <c:pt idx="37">
                  <c:v>15.767336</c:v>
                </c:pt>
                <c:pt idx="38">
                  <c:v>15.714407</c:v>
                </c:pt>
                <c:pt idx="39">
                  <c:v>15.714407</c:v>
                </c:pt>
                <c:pt idx="40">
                  <c:v>17.301697000000001</c:v>
                </c:pt>
                <c:pt idx="41">
                  <c:v>15.978939</c:v>
                </c:pt>
                <c:pt idx="42">
                  <c:v>15.873122</c:v>
                </c:pt>
                <c:pt idx="43">
                  <c:v>16.031842999999999</c:v>
                </c:pt>
                <c:pt idx="44">
                  <c:v>15.555675000000001</c:v>
                </c:pt>
                <c:pt idx="45">
                  <c:v>13.492167</c:v>
                </c:pt>
                <c:pt idx="46">
                  <c:v>15.926016000000001</c:v>
                </c:pt>
                <c:pt idx="47">
                  <c:v>15.820217</c:v>
                </c:pt>
                <c:pt idx="48">
                  <c:v>15.767288000000001</c:v>
                </c:pt>
                <c:pt idx="49">
                  <c:v>15.343999999999999</c:v>
                </c:pt>
                <c:pt idx="50">
                  <c:v>15.291095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8FC-41AB-89C4-4A7A37B02565}"/>
            </c:ext>
          </c:extLst>
        </c:ser>
        <c:ser>
          <c:idx val="9"/>
          <c:order val="9"/>
          <c:tx>
            <c:strRef>
              <c:f>dataSeveralAnal!$BK$1</c:f>
              <c:strCache>
                <c:ptCount val="1"/>
                <c:pt idx="0">
                  <c:v>5.5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dataSeveralAnal!$BK$2:$BK$52</c:f>
              <c:numCache>
                <c:formatCode>General</c:formatCode>
                <c:ptCount val="51"/>
                <c:pt idx="0">
                  <c:v>0.89950600000000003</c:v>
                </c:pt>
                <c:pt idx="1">
                  <c:v>7.3016639999999997</c:v>
                </c:pt>
                <c:pt idx="2">
                  <c:v>7.3016639999999997</c:v>
                </c:pt>
                <c:pt idx="3">
                  <c:v>13.492155</c:v>
                </c:pt>
                <c:pt idx="4">
                  <c:v>14.920735000000001</c:v>
                </c:pt>
                <c:pt idx="5">
                  <c:v>15.396922</c:v>
                </c:pt>
                <c:pt idx="6">
                  <c:v>15.449837</c:v>
                </c:pt>
                <c:pt idx="7">
                  <c:v>15.661478000000001</c:v>
                </c:pt>
                <c:pt idx="8">
                  <c:v>15.449828</c:v>
                </c:pt>
                <c:pt idx="9">
                  <c:v>16.825516</c:v>
                </c:pt>
                <c:pt idx="10">
                  <c:v>15.767301</c:v>
                </c:pt>
                <c:pt idx="11">
                  <c:v>13.545059999999999</c:v>
                </c:pt>
                <c:pt idx="12">
                  <c:v>15.926016000000001</c:v>
                </c:pt>
                <c:pt idx="13">
                  <c:v>16.984248999999998</c:v>
                </c:pt>
                <c:pt idx="14">
                  <c:v>16.243504999999999</c:v>
                </c:pt>
                <c:pt idx="15">
                  <c:v>16.190601000000001</c:v>
                </c:pt>
                <c:pt idx="16">
                  <c:v>15.185261000000001</c:v>
                </c:pt>
                <c:pt idx="17">
                  <c:v>18.730284000000001</c:v>
                </c:pt>
                <c:pt idx="18">
                  <c:v>15.873122</c:v>
                </c:pt>
                <c:pt idx="19">
                  <c:v>15.661478000000001</c:v>
                </c:pt>
                <c:pt idx="20">
                  <c:v>15.714407</c:v>
                </c:pt>
                <c:pt idx="21">
                  <c:v>16.984224000000001</c:v>
                </c:pt>
                <c:pt idx="22">
                  <c:v>16.984224000000001</c:v>
                </c:pt>
                <c:pt idx="23">
                  <c:v>16.560955</c:v>
                </c:pt>
                <c:pt idx="24">
                  <c:v>16.137668999999999</c:v>
                </c:pt>
                <c:pt idx="25">
                  <c:v>16.137668999999999</c:v>
                </c:pt>
                <c:pt idx="26">
                  <c:v>14.973647</c:v>
                </c:pt>
                <c:pt idx="27">
                  <c:v>16.031862</c:v>
                </c:pt>
                <c:pt idx="28">
                  <c:v>15.873111</c:v>
                </c:pt>
                <c:pt idx="29">
                  <c:v>18.148268000000002</c:v>
                </c:pt>
                <c:pt idx="30">
                  <c:v>16.137671999999998</c:v>
                </c:pt>
                <c:pt idx="31">
                  <c:v>12.328124000000001</c:v>
                </c:pt>
                <c:pt idx="32">
                  <c:v>15.978909</c:v>
                </c:pt>
                <c:pt idx="33">
                  <c:v>15.978909</c:v>
                </c:pt>
                <c:pt idx="34">
                  <c:v>16.190624</c:v>
                </c:pt>
                <c:pt idx="35">
                  <c:v>16.296386999999999</c:v>
                </c:pt>
                <c:pt idx="36">
                  <c:v>14.497471000000001</c:v>
                </c:pt>
                <c:pt idx="37">
                  <c:v>18.889023000000002</c:v>
                </c:pt>
                <c:pt idx="38">
                  <c:v>15.820217</c:v>
                </c:pt>
                <c:pt idx="39">
                  <c:v>15.978956</c:v>
                </c:pt>
                <c:pt idx="40">
                  <c:v>15.820169</c:v>
                </c:pt>
                <c:pt idx="41">
                  <c:v>15.820169</c:v>
                </c:pt>
                <c:pt idx="42">
                  <c:v>16.402221999999998</c:v>
                </c:pt>
                <c:pt idx="43">
                  <c:v>16.349314</c:v>
                </c:pt>
                <c:pt idx="44">
                  <c:v>16.45513</c:v>
                </c:pt>
                <c:pt idx="45">
                  <c:v>16.45513</c:v>
                </c:pt>
                <c:pt idx="46">
                  <c:v>15.820206000000001</c:v>
                </c:pt>
                <c:pt idx="47">
                  <c:v>16.190577000000001</c:v>
                </c:pt>
                <c:pt idx="48">
                  <c:v>15.873111</c:v>
                </c:pt>
                <c:pt idx="49">
                  <c:v>15.873111</c:v>
                </c:pt>
                <c:pt idx="50">
                  <c:v>16.137671999999998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FC-41AB-89C4-4A7A37B0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292031"/>
        <c:axId val="726308831"/>
      </c:scatterChart>
      <c:valAx>
        <c:axId val="7262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[]s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26308831"/>
        <c:crosses val="autoZero"/>
        <c:crossBetween val="midCat"/>
      </c:valAx>
      <c:valAx>
        <c:axId val="7263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rad/s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2629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</a:t>
            </a:r>
            <a:r>
              <a:rPr lang="da-DK" baseline="0"/>
              <a:t> respones for low values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dataSeveralAnal!$F$1</c:f>
              <c:strCache>
                <c:ptCount val="1"/>
                <c:pt idx="0">
                  <c:v>0.5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dataSeveralAnal!$F$2:$F$52</c:f>
              <c:numCache>
                <c:formatCode>General</c:formatCode>
                <c:ptCount val="51"/>
                <c:pt idx="0">
                  <c:v>0.15873899999999999</c:v>
                </c:pt>
                <c:pt idx="1">
                  <c:v>0.31745400000000001</c:v>
                </c:pt>
                <c:pt idx="2">
                  <c:v>4.5502659999999997</c:v>
                </c:pt>
                <c:pt idx="3">
                  <c:v>0.84657700000000002</c:v>
                </c:pt>
                <c:pt idx="4">
                  <c:v>1.164031</c:v>
                </c:pt>
                <c:pt idx="5">
                  <c:v>1.322746</c:v>
                </c:pt>
                <c:pt idx="7">
                  <c:v>1.7460580000000001</c:v>
                </c:pt>
                <c:pt idx="8">
                  <c:v>1.693106</c:v>
                </c:pt>
                <c:pt idx="9">
                  <c:v>1.9576789999999999</c:v>
                </c:pt>
                <c:pt idx="11">
                  <c:v>2.1693229999999999</c:v>
                </c:pt>
                <c:pt idx="12">
                  <c:v>2.3280620000000001</c:v>
                </c:pt>
                <c:pt idx="13">
                  <c:v>1.269841</c:v>
                </c:pt>
                <c:pt idx="14">
                  <c:v>2.5396589999999999</c:v>
                </c:pt>
                <c:pt idx="15">
                  <c:v>2.4868009999999998</c:v>
                </c:pt>
                <c:pt idx="16">
                  <c:v>2.4868250000000001</c:v>
                </c:pt>
                <c:pt idx="17">
                  <c:v>2.4868250000000001</c:v>
                </c:pt>
                <c:pt idx="18">
                  <c:v>2.8042319999999998</c:v>
                </c:pt>
                <c:pt idx="19">
                  <c:v>2.9100890000000001</c:v>
                </c:pt>
                <c:pt idx="20">
                  <c:v>2.8571840000000002</c:v>
                </c:pt>
                <c:pt idx="21">
                  <c:v>2.9100419999999998</c:v>
                </c:pt>
                <c:pt idx="22">
                  <c:v>3.0158999999999998</c:v>
                </c:pt>
                <c:pt idx="23">
                  <c:v>3.174639</c:v>
                </c:pt>
                <c:pt idx="24">
                  <c:v>3.0158999999999998</c:v>
                </c:pt>
                <c:pt idx="25">
                  <c:v>3.015924</c:v>
                </c:pt>
                <c:pt idx="26">
                  <c:v>3.1217579999999998</c:v>
                </c:pt>
                <c:pt idx="27">
                  <c:v>3.1745909999999999</c:v>
                </c:pt>
                <c:pt idx="28">
                  <c:v>3.1746150000000002</c:v>
                </c:pt>
                <c:pt idx="29">
                  <c:v>3.1745909999999999</c:v>
                </c:pt>
                <c:pt idx="30">
                  <c:v>2.433872</c:v>
                </c:pt>
                <c:pt idx="31">
                  <c:v>3.2804489999999999</c:v>
                </c:pt>
                <c:pt idx="32">
                  <c:v>3.1217579999999998</c:v>
                </c:pt>
                <c:pt idx="33">
                  <c:v>3.3333780000000002</c:v>
                </c:pt>
                <c:pt idx="34">
                  <c:v>1.798964</c:v>
                </c:pt>
                <c:pt idx="35">
                  <c:v>3.4391880000000001</c:v>
                </c:pt>
                <c:pt idx="36">
                  <c:v>3.4920689999999999</c:v>
                </c:pt>
                <c:pt idx="37">
                  <c:v>3.4921169999999999</c:v>
                </c:pt>
                <c:pt idx="38">
                  <c:v>3.6508560000000001</c:v>
                </c:pt>
                <c:pt idx="39">
                  <c:v>4.7619340000000001</c:v>
                </c:pt>
                <c:pt idx="40">
                  <c:v>3.386307</c:v>
                </c:pt>
                <c:pt idx="41">
                  <c:v>3.3862109999999999</c:v>
                </c:pt>
                <c:pt idx="42">
                  <c:v>3.5449980000000001</c:v>
                </c:pt>
                <c:pt idx="44">
                  <c:v>3.3862589999999999</c:v>
                </c:pt>
                <c:pt idx="45">
                  <c:v>3.3862589999999999</c:v>
                </c:pt>
                <c:pt idx="46">
                  <c:v>3.8095469999999998</c:v>
                </c:pt>
                <c:pt idx="47">
                  <c:v>7.3016350000000001</c:v>
                </c:pt>
                <c:pt idx="48">
                  <c:v>3.7037249999999999</c:v>
                </c:pt>
                <c:pt idx="49">
                  <c:v>3.7566359999999999</c:v>
                </c:pt>
                <c:pt idx="50">
                  <c:v>3.7037249999999999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D-402B-9F70-91FD65B03688}"/>
            </c:ext>
          </c:extLst>
        </c:ser>
        <c:ser>
          <c:idx val="1"/>
          <c:order val="1"/>
          <c:tx>
            <c:strRef>
              <c:f>dataSeveralAnal!$I$1</c:f>
              <c:strCache>
                <c:ptCount val="1"/>
                <c:pt idx="0">
                  <c:v>0.75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dataSeveralAnal!$I$2:$I$52</c:f>
              <c:numCache>
                <c:formatCode>General</c:formatCode>
                <c:ptCount val="51"/>
                <c:pt idx="0">
                  <c:v>0.15873000000000001</c:v>
                </c:pt>
                <c:pt idx="1">
                  <c:v>1.058206</c:v>
                </c:pt>
                <c:pt idx="2">
                  <c:v>1.42858</c:v>
                </c:pt>
                <c:pt idx="3">
                  <c:v>1.9047689999999999</c:v>
                </c:pt>
                <c:pt idx="4">
                  <c:v>2.4867849999999998</c:v>
                </c:pt>
                <c:pt idx="5">
                  <c:v>3.8624610000000001</c:v>
                </c:pt>
                <c:pt idx="6">
                  <c:v>3.280446</c:v>
                </c:pt>
                <c:pt idx="7">
                  <c:v>3.5449920000000001</c:v>
                </c:pt>
                <c:pt idx="8">
                  <c:v>3.9682780000000002</c:v>
                </c:pt>
                <c:pt idx="10">
                  <c:v>3.597906</c:v>
                </c:pt>
                <c:pt idx="11">
                  <c:v>4.6561120000000003</c:v>
                </c:pt>
                <c:pt idx="12">
                  <c:v>5.0264949999999997</c:v>
                </c:pt>
                <c:pt idx="14">
                  <c:v>3.4391759999999998</c:v>
                </c:pt>
                <c:pt idx="15">
                  <c:v>5.7143329999999999</c:v>
                </c:pt>
                <c:pt idx="16">
                  <c:v>5.714321</c:v>
                </c:pt>
                <c:pt idx="17">
                  <c:v>9.5238689999999995</c:v>
                </c:pt>
                <c:pt idx="18">
                  <c:v>6.1376090000000003</c:v>
                </c:pt>
                <c:pt idx="19">
                  <c:v>6.2963370000000003</c:v>
                </c:pt>
                <c:pt idx="20">
                  <c:v>6.1905260000000002</c:v>
                </c:pt>
                <c:pt idx="22">
                  <c:v>6.6138029999999999</c:v>
                </c:pt>
                <c:pt idx="23">
                  <c:v>4.8677679999999999</c:v>
                </c:pt>
                <c:pt idx="24">
                  <c:v>6.7725299999999997</c:v>
                </c:pt>
                <c:pt idx="26">
                  <c:v>6.6666840000000001</c:v>
                </c:pt>
                <c:pt idx="27">
                  <c:v>7.0899960000000002</c:v>
                </c:pt>
                <c:pt idx="28">
                  <c:v>6.9312569999999996</c:v>
                </c:pt>
                <c:pt idx="30">
                  <c:v>6.9841620000000004</c:v>
                </c:pt>
                <c:pt idx="31">
                  <c:v>7.3545689999999997</c:v>
                </c:pt>
                <c:pt idx="32">
                  <c:v>7.3545689999999997</c:v>
                </c:pt>
                <c:pt idx="33">
                  <c:v>10.317539999999999</c:v>
                </c:pt>
                <c:pt idx="34">
                  <c:v>7.2487589999999997</c:v>
                </c:pt>
                <c:pt idx="35">
                  <c:v>7.407451</c:v>
                </c:pt>
                <c:pt idx="36">
                  <c:v>2.3280620000000001</c:v>
                </c:pt>
                <c:pt idx="37">
                  <c:v>11.217022</c:v>
                </c:pt>
                <c:pt idx="38">
                  <c:v>7.4603320000000002</c:v>
                </c:pt>
                <c:pt idx="39">
                  <c:v>7.354546</c:v>
                </c:pt>
                <c:pt idx="40">
                  <c:v>7.3544980000000004</c:v>
                </c:pt>
                <c:pt idx="41">
                  <c:v>10.952425</c:v>
                </c:pt>
                <c:pt idx="42">
                  <c:v>7.354546</c:v>
                </c:pt>
                <c:pt idx="43">
                  <c:v>6.0317990000000004</c:v>
                </c:pt>
                <c:pt idx="44">
                  <c:v>7.5132849999999998</c:v>
                </c:pt>
                <c:pt idx="45">
                  <c:v>7.5132849999999998</c:v>
                </c:pt>
                <c:pt idx="46">
                  <c:v>7.8836440000000003</c:v>
                </c:pt>
                <c:pt idx="47">
                  <c:v>7.7778280000000004</c:v>
                </c:pt>
                <c:pt idx="48">
                  <c:v>8.0952940000000009</c:v>
                </c:pt>
                <c:pt idx="49">
                  <c:v>9.6296970000000002</c:v>
                </c:pt>
                <c:pt idx="50">
                  <c:v>7.8836529999999998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ED-402B-9F70-91FD65B03688}"/>
            </c:ext>
          </c:extLst>
        </c:ser>
        <c:ser>
          <c:idx val="2"/>
          <c:order val="2"/>
          <c:tx>
            <c:strRef>
              <c:f>dataSeveralAnal!$L$1</c:f>
              <c:strCache>
                <c:ptCount val="1"/>
                <c:pt idx="0">
                  <c:v>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dataSeveralAnal!$L$2:$L$52</c:f>
              <c:numCache>
                <c:formatCode>General</c:formatCode>
                <c:ptCount val="51"/>
                <c:pt idx="0">
                  <c:v>0.21163199999999999</c:v>
                </c:pt>
                <c:pt idx="1">
                  <c:v>1.216936</c:v>
                </c:pt>
                <c:pt idx="2">
                  <c:v>2.2222400000000002</c:v>
                </c:pt>
                <c:pt idx="3">
                  <c:v>3.4920810000000002</c:v>
                </c:pt>
                <c:pt idx="4">
                  <c:v>3.6508319999999999</c:v>
                </c:pt>
                <c:pt idx="5">
                  <c:v>4.1799189999999999</c:v>
                </c:pt>
                <c:pt idx="6">
                  <c:v>4.9735779999999998</c:v>
                </c:pt>
                <c:pt idx="7">
                  <c:v>8.095288</c:v>
                </c:pt>
                <c:pt idx="8">
                  <c:v>3.9153579999999999</c:v>
                </c:pt>
                <c:pt idx="9">
                  <c:v>6.4550640000000001</c:v>
                </c:pt>
                <c:pt idx="10">
                  <c:v>6.7196249999999997</c:v>
                </c:pt>
                <c:pt idx="11">
                  <c:v>7.0899960000000002</c:v>
                </c:pt>
                <c:pt idx="12">
                  <c:v>7.2487120000000003</c:v>
                </c:pt>
                <c:pt idx="13">
                  <c:v>4.9735550000000002</c:v>
                </c:pt>
                <c:pt idx="14">
                  <c:v>8.1481929999999991</c:v>
                </c:pt>
                <c:pt idx="15">
                  <c:v>7.9894780000000001</c:v>
                </c:pt>
                <c:pt idx="16">
                  <c:v>8.4127430000000007</c:v>
                </c:pt>
                <c:pt idx="17">
                  <c:v>8.5714819999999996</c:v>
                </c:pt>
                <c:pt idx="18">
                  <c:v>8.4127430000000007</c:v>
                </c:pt>
                <c:pt idx="19">
                  <c:v>8.7831499999999991</c:v>
                </c:pt>
                <c:pt idx="20">
                  <c:v>8.941865</c:v>
                </c:pt>
                <c:pt idx="21">
                  <c:v>8.9947700000000008</c:v>
                </c:pt>
                <c:pt idx="22">
                  <c:v>9.1006280000000004</c:v>
                </c:pt>
                <c:pt idx="23">
                  <c:v>9.2063900000000007</c:v>
                </c:pt>
                <c:pt idx="24">
                  <c:v>9.2064380000000003</c:v>
                </c:pt>
                <c:pt idx="25">
                  <c:v>9.4180580000000003</c:v>
                </c:pt>
                <c:pt idx="26">
                  <c:v>9.6297259999999998</c:v>
                </c:pt>
                <c:pt idx="27">
                  <c:v>9.6296789999999994</c:v>
                </c:pt>
                <c:pt idx="28">
                  <c:v>9.6296789999999994</c:v>
                </c:pt>
                <c:pt idx="29">
                  <c:v>9.6825960000000002</c:v>
                </c:pt>
                <c:pt idx="30">
                  <c:v>10.052973</c:v>
                </c:pt>
                <c:pt idx="31">
                  <c:v>7.7249230000000004</c:v>
                </c:pt>
                <c:pt idx="32">
                  <c:v>9.9471539999999994</c:v>
                </c:pt>
                <c:pt idx="33">
                  <c:v>9.8942479999999993</c:v>
                </c:pt>
                <c:pt idx="34">
                  <c:v>10.158795</c:v>
                </c:pt>
                <c:pt idx="35">
                  <c:v>10.317534</c:v>
                </c:pt>
                <c:pt idx="36">
                  <c:v>10.105872</c:v>
                </c:pt>
                <c:pt idx="37">
                  <c:v>9.8942580000000007</c:v>
                </c:pt>
                <c:pt idx="38">
                  <c:v>10.000068000000001</c:v>
                </c:pt>
                <c:pt idx="39">
                  <c:v>10.052991</c:v>
                </c:pt>
                <c:pt idx="40">
                  <c:v>10.15879</c:v>
                </c:pt>
                <c:pt idx="41">
                  <c:v>10.000062</c:v>
                </c:pt>
                <c:pt idx="42">
                  <c:v>10.052991</c:v>
                </c:pt>
                <c:pt idx="43">
                  <c:v>10.158801</c:v>
                </c:pt>
                <c:pt idx="44">
                  <c:v>10.370445</c:v>
                </c:pt>
                <c:pt idx="45">
                  <c:v>9.6296789999999994</c:v>
                </c:pt>
                <c:pt idx="46">
                  <c:v>10.052991</c:v>
                </c:pt>
                <c:pt idx="47">
                  <c:v>10.158777000000001</c:v>
                </c:pt>
                <c:pt idx="48">
                  <c:v>10.423325999999999</c:v>
                </c:pt>
                <c:pt idx="49">
                  <c:v>10.423349999999999</c:v>
                </c:pt>
                <c:pt idx="50">
                  <c:v>10.264587000000001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ED-402B-9F70-91FD65B03688}"/>
            </c:ext>
          </c:extLst>
        </c:ser>
        <c:ser>
          <c:idx val="3"/>
          <c:order val="3"/>
          <c:tx>
            <c:strRef>
              <c:f>dataSeveralAnal!$O$1</c:f>
              <c:strCache>
                <c:ptCount val="1"/>
                <c:pt idx="0">
                  <c:v>1.25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dataSeveralAnal!$A$2:$A$52</c:f>
              <c:numCache>
                <c:formatCode>General</c:formatCode>
                <c:ptCount val="51"/>
                <c:pt idx="0">
                  <c:v>0</c:v>
                </c:pt>
                <c:pt idx="1">
                  <c:v>2.0267E-2</c:v>
                </c:pt>
                <c:pt idx="2">
                  <c:v>4.0426999999999998E-2</c:v>
                </c:pt>
                <c:pt idx="3">
                  <c:v>6.0627E-2</c:v>
                </c:pt>
                <c:pt idx="4">
                  <c:v>8.0791000000000002E-2</c:v>
                </c:pt>
                <c:pt idx="5">
                  <c:v>0.100951</c:v>
                </c:pt>
                <c:pt idx="6">
                  <c:v>0.12112000000000001</c:v>
                </c:pt>
                <c:pt idx="7">
                  <c:v>0.14127600000000001</c:v>
                </c:pt>
                <c:pt idx="8">
                  <c:v>0.16142999999999999</c:v>
                </c:pt>
                <c:pt idx="9">
                  <c:v>0.181587</c:v>
                </c:pt>
                <c:pt idx="10">
                  <c:v>0.20177600000000001</c:v>
                </c:pt>
                <c:pt idx="11">
                  <c:v>0.22192999999999999</c:v>
                </c:pt>
                <c:pt idx="12">
                  <c:v>0.24209600000000001</c:v>
                </c:pt>
                <c:pt idx="13">
                  <c:v>0.26224799999999998</c:v>
                </c:pt>
                <c:pt idx="14">
                  <c:v>0.28240199999999999</c:v>
                </c:pt>
                <c:pt idx="15">
                  <c:v>0.30255700000000002</c:v>
                </c:pt>
                <c:pt idx="16">
                  <c:v>0.32271699999999998</c:v>
                </c:pt>
                <c:pt idx="17">
                  <c:v>0.34287099999999998</c:v>
                </c:pt>
                <c:pt idx="18">
                  <c:v>0.36307299999999998</c:v>
                </c:pt>
                <c:pt idx="19">
                  <c:v>0.38326300000000002</c:v>
                </c:pt>
                <c:pt idx="20">
                  <c:v>0.40341700000000003</c:v>
                </c:pt>
                <c:pt idx="21">
                  <c:v>0.42357499999999998</c:v>
                </c:pt>
                <c:pt idx="22">
                  <c:v>0.44373699999999999</c:v>
                </c:pt>
                <c:pt idx="23">
                  <c:v>0.463893</c:v>
                </c:pt>
                <c:pt idx="24">
                  <c:v>0.48405900000000002</c:v>
                </c:pt>
                <c:pt idx="25">
                  <c:v>0.50421000000000005</c:v>
                </c:pt>
                <c:pt idx="26">
                  <c:v>0.52439100000000005</c:v>
                </c:pt>
                <c:pt idx="27">
                  <c:v>0.54455799999999999</c:v>
                </c:pt>
                <c:pt idx="28">
                  <c:v>0.56472</c:v>
                </c:pt>
                <c:pt idx="29">
                  <c:v>0.58487100000000003</c:v>
                </c:pt>
                <c:pt idx="30">
                  <c:v>0.60503200000000001</c:v>
                </c:pt>
                <c:pt idx="31">
                  <c:v>0.62518499999999999</c:v>
                </c:pt>
                <c:pt idx="32">
                  <c:v>0.64536099999999996</c:v>
                </c:pt>
                <c:pt idx="33">
                  <c:v>0.665524</c:v>
                </c:pt>
                <c:pt idx="34">
                  <c:v>0.68567800000000001</c:v>
                </c:pt>
                <c:pt idx="35">
                  <c:v>0.70586300000000002</c:v>
                </c:pt>
                <c:pt idx="36">
                  <c:v>0.72602699999999998</c:v>
                </c:pt>
                <c:pt idx="37">
                  <c:v>0.74621300000000002</c:v>
                </c:pt>
                <c:pt idx="38">
                  <c:v>0.766374</c:v>
                </c:pt>
                <c:pt idx="39">
                  <c:v>0.78652699999999998</c:v>
                </c:pt>
                <c:pt idx="40">
                  <c:v>0.80668200000000001</c:v>
                </c:pt>
                <c:pt idx="41">
                  <c:v>0.82684199999999997</c:v>
                </c:pt>
                <c:pt idx="42">
                  <c:v>0.84699899999999995</c:v>
                </c:pt>
                <c:pt idx="43">
                  <c:v>0.86714899999999995</c:v>
                </c:pt>
                <c:pt idx="44">
                  <c:v>0.88730100000000001</c:v>
                </c:pt>
                <c:pt idx="45">
                  <c:v>0.90744999999999998</c:v>
                </c:pt>
                <c:pt idx="46">
                  <c:v>0.92763700000000004</c:v>
                </c:pt>
                <c:pt idx="47">
                  <c:v>0.94779199999999997</c:v>
                </c:pt>
                <c:pt idx="48">
                  <c:v>0.96794400000000003</c:v>
                </c:pt>
                <c:pt idx="49">
                  <c:v>0.98811700000000002</c:v>
                </c:pt>
                <c:pt idx="50">
                  <c:v>1.00827</c:v>
                </c:pt>
              </c:numCache>
            </c:numRef>
          </c:xVal>
          <c:yVal>
            <c:numRef>
              <c:f>dataSeveralAnal!$O$2:$O$52</c:f>
              <c:numCache>
                <c:formatCode>General</c:formatCode>
                <c:ptCount val="51"/>
                <c:pt idx="0">
                  <c:v>1.005298</c:v>
                </c:pt>
                <c:pt idx="1">
                  <c:v>4.867756</c:v>
                </c:pt>
                <c:pt idx="2">
                  <c:v>3.5449950000000001</c:v>
                </c:pt>
                <c:pt idx="3">
                  <c:v>4.4444679999999996</c:v>
                </c:pt>
                <c:pt idx="4">
                  <c:v>5.0793980000000003</c:v>
                </c:pt>
                <c:pt idx="5">
                  <c:v>9.7355090000000004</c:v>
                </c:pt>
                <c:pt idx="6">
                  <c:v>6.5608909999999998</c:v>
                </c:pt>
                <c:pt idx="7">
                  <c:v>7.6190959999999999</c:v>
                </c:pt>
                <c:pt idx="8">
                  <c:v>7.7778270000000003</c:v>
                </c:pt>
                <c:pt idx="9">
                  <c:v>12.222305</c:v>
                </c:pt>
                <c:pt idx="10">
                  <c:v>7.1429080000000003</c:v>
                </c:pt>
                <c:pt idx="11">
                  <c:v>8.888954</c:v>
                </c:pt>
                <c:pt idx="12">
                  <c:v>9.4180530000000005</c:v>
                </c:pt>
                <c:pt idx="13">
                  <c:v>12.910128</c:v>
                </c:pt>
                <c:pt idx="14">
                  <c:v>9.7355250000000009</c:v>
                </c:pt>
                <c:pt idx="15">
                  <c:v>9.9471450000000008</c:v>
                </c:pt>
                <c:pt idx="16">
                  <c:v>10.211695000000001</c:v>
                </c:pt>
                <c:pt idx="17">
                  <c:v>12.804316999999999</c:v>
                </c:pt>
                <c:pt idx="18">
                  <c:v>10.687851999999999</c:v>
                </c:pt>
                <c:pt idx="19">
                  <c:v>5.8201309999999999</c:v>
                </c:pt>
                <c:pt idx="20">
                  <c:v>10.740829</c:v>
                </c:pt>
                <c:pt idx="21">
                  <c:v>12.010645999999999</c:v>
                </c:pt>
                <c:pt idx="22">
                  <c:v>11.005354000000001</c:v>
                </c:pt>
                <c:pt idx="23">
                  <c:v>11.217022</c:v>
                </c:pt>
                <c:pt idx="24">
                  <c:v>11.375737000000001</c:v>
                </c:pt>
                <c:pt idx="25">
                  <c:v>12.222314000000001</c:v>
                </c:pt>
                <c:pt idx="26">
                  <c:v>11.269926999999999</c:v>
                </c:pt>
                <c:pt idx="27">
                  <c:v>11.269902999999999</c:v>
                </c:pt>
                <c:pt idx="28">
                  <c:v>11.058235</c:v>
                </c:pt>
                <c:pt idx="29">
                  <c:v>11.904859999999999</c:v>
                </c:pt>
                <c:pt idx="30">
                  <c:v>11.481571000000001</c:v>
                </c:pt>
                <c:pt idx="31">
                  <c:v>11.481571000000001</c:v>
                </c:pt>
                <c:pt idx="32">
                  <c:v>11.746109000000001</c:v>
                </c:pt>
                <c:pt idx="33">
                  <c:v>10.423349999999999</c:v>
                </c:pt>
                <c:pt idx="34">
                  <c:v>11.851933000000001</c:v>
                </c:pt>
                <c:pt idx="35">
                  <c:v>11.640288</c:v>
                </c:pt>
                <c:pt idx="36">
                  <c:v>11.957746999999999</c:v>
                </c:pt>
                <c:pt idx="37">
                  <c:v>11.587376000000001</c:v>
                </c:pt>
                <c:pt idx="38">
                  <c:v>11.428637</c:v>
                </c:pt>
                <c:pt idx="39">
                  <c:v>11.428654999999999</c:v>
                </c:pt>
                <c:pt idx="40">
                  <c:v>11.746119999999999</c:v>
                </c:pt>
                <c:pt idx="41">
                  <c:v>11.799037999999999</c:v>
                </c:pt>
                <c:pt idx="42">
                  <c:v>11.799026</c:v>
                </c:pt>
                <c:pt idx="43">
                  <c:v>11.904847999999999</c:v>
                </c:pt>
                <c:pt idx="44">
                  <c:v>11.904847999999999</c:v>
                </c:pt>
                <c:pt idx="45">
                  <c:v>11.693192</c:v>
                </c:pt>
                <c:pt idx="46">
                  <c:v>11.587358</c:v>
                </c:pt>
                <c:pt idx="47">
                  <c:v>9.0476989999999997</c:v>
                </c:pt>
                <c:pt idx="48">
                  <c:v>11.693192</c:v>
                </c:pt>
                <c:pt idx="49">
                  <c:v>11.640286</c:v>
                </c:pt>
                <c:pt idx="50">
                  <c:v>11.481547000000001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ED-402B-9F70-91FD65B0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283391"/>
        <c:axId val="726284351"/>
      </c:scatterChart>
      <c:valAx>
        <c:axId val="72628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26284351"/>
        <c:crosses val="autoZero"/>
        <c:crossBetween val="midCat"/>
      </c:valAx>
      <c:valAx>
        <c:axId val="7262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2628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dataSeveralAnal!$AI$59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dataSeveralAnal!$AH$60:$AH$111</c:f>
              <c:numCache>
                <c:formatCode>General</c:formatCode>
                <c:ptCount val="52"/>
                <c:pt idx="1">
                  <c:v>0</c:v>
                </c:pt>
                <c:pt idx="2">
                  <c:v>2.0157999999999999E-2</c:v>
                </c:pt>
                <c:pt idx="3">
                  <c:v>4.0318999999999994E-2</c:v>
                </c:pt>
                <c:pt idx="4">
                  <c:v>6.047799999999999E-2</c:v>
                </c:pt>
                <c:pt idx="5">
                  <c:v>8.0628999999999992E-2</c:v>
                </c:pt>
                <c:pt idx="6">
                  <c:v>0.10079299999999999</c:v>
                </c:pt>
                <c:pt idx="7">
                  <c:v>0.12097999999999999</c:v>
                </c:pt>
                <c:pt idx="8">
                  <c:v>0.14113699999999998</c:v>
                </c:pt>
                <c:pt idx="9">
                  <c:v>0.16132799999999997</c:v>
                </c:pt>
                <c:pt idx="10">
                  <c:v>0.18148399999999998</c:v>
                </c:pt>
                <c:pt idx="11">
                  <c:v>0.20163999999999999</c:v>
                </c:pt>
                <c:pt idx="12">
                  <c:v>0.22180499999999997</c:v>
                </c:pt>
                <c:pt idx="13">
                  <c:v>0.24197099999999996</c:v>
                </c:pt>
                <c:pt idx="14">
                  <c:v>0.26212499999999994</c:v>
                </c:pt>
                <c:pt idx="15">
                  <c:v>0.28228699999999995</c:v>
                </c:pt>
                <c:pt idx="16">
                  <c:v>0.30245399999999995</c:v>
                </c:pt>
                <c:pt idx="17">
                  <c:v>0.32260899999999992</c:v>
                </c:pt>
                <c:pt idx="18">
                  <c:v>0.34279999999999994</c:v>
                </c:pt>
                <c:pt idx="19">
                  <c:v>0.36297299999999993</c:v>
                </c:pt>
                <c:pt idx="20">
                  <c:v>0.38312999999999992</c:v>
                </c:pt>
                <c:pt idx="21">
                  <c:v>0.40329199999999993</c:v>
                </c:pt>
                <c:pt idx="22">
                  <c:v>0.42345099999999991</c:v>
                </c:pt>
                <c:pt idx="23">
                  <c:v>0.44360499999999992</c:v>
                </c:pt>
                <c:pt idx="24">
                  <c:v>0.46377799999999991</c:v>
                </c:pt>
                <c:pt idx="25">
                  <c:v>0.48394199999999993</c:v>
                </c:pt>
                <c:pt idx="26">
                  <c:v>0.50409499999999996</c:v>
                </c:pt>
                <c:pt idx="27">
                  <c:v>0.52425499999999992</c:v>
                </c:pt>
                <c:pt idx="28">
                  <c:v>0.5444119999999999</c:v>
                </c:pt>
                <c:pt idx="29">
                  <c:v>0.56457099999999993</c:v>
                </c:pt>
                <c:pt idx="30">
                  <c:v>0.58472499999999994</c:v>
                </c:pt>
                <c:pt idx="31">
                  <c:v>0.60488299999999995</c:v>
                </c:pt>
                <c:pt idx="32">
                  <c:v>0.6250659999999999</c:v>
                </c:pt>
                <c:pt idx="33">
                  <c:v>0.64522499999999994</c:v>
                </c:pt>
                <c:pt idx="34">
                  <c:v>0.66538099999999989</c:v>
                </c:pt>
                <c:pt idx="35">
                  <c:v>0.68555399999999989</c:v>
                </c:pt>
                <c:pt idx="36">
                  <c:v>0.70570899999999992</c:v>
                </c:pt>
                <c:pt idx="37">
                  <c:v>0.72587099999999993</c:v>
                </c:pt>
                <c:pt idx="38">
                  <c:v>0.74603399999999997</c:v>
                </c:pt>
                <c:pt idx="39">
                  <c:v>0.76619199999999998</c:v>
                </c:pt>
                <c:pt idx="40">
                  <c:v>0.78634799999999994</c:v>
                </c:pt>
                <c:pt idx="41">
                  <c:v>0.80654399999999993</c:v>
                </c:pt>
                <c:pt idx="42">
                  <c:v>0.82670399999999988</c:v>
                </c:pt>
                <c:pt idx="43">
                  <c:v>0.84685899999999992</c:v>
                </c:pt>
                <c:pt idx="44">
                  <c:v>0.86704399999999993</c:v>
                </c:pt>
                <c:pt idx="45">
                  <c:v>0.88720699999999997</c:v>
                </c:pt>
                <c:pt idx="46">
                  <c:v>0.90736699999999992</c:v>
                </c:pt>
                <c:pt idx="47">
                  <c:v>0.92753499999999989</c:v>
                </c:pt>
                <c:pt idx="48">
                  <c:v>0.94771899999999987</c:v>
                </c:pt>
                <c:pt idx="49">
                  <c:v>0.96787599999999985</c:v>
                </c:pt>
                <c:pt idx="50">
                  <c:v>0.98803499999999989</c:v>
                </c:pt>
              </c:numCache>
            </c:numRef>
          </c:xVal>
          <c:yVal>
            <c:numRef>
              <c:f>dataSeveralAnal!$AI$60:$AI$111</c:f>
              <c:numCache>
                <c:formatCode>General</c:formatCode>
                <c:ptCount val="52"/>
                <c:pt idx="1">
                  <c:v>0.52910999999999997</c:v>
                </c:pt>
                <c:pt idx="2">
                  <c:v>3.9682979999999999</c:v>
                </c:pt>
                <c:pt idx="4">
                  <c:v>8.6243870000000005</c:v>
                </c:pt>
                <c:pt idx="5">
                  <c:v>10.15879</c:v>
                </c:pt>
                <c:pt idx="6">
                  <c:v>11.322844999999999</c:v>
                </c:pt>
                <c:pt idx="7">
                  <c:v>11.904836</c:v>
                </c:pt>
                <c:pt idx="8">
                  <c:v>12.328099999999999</c:v>
                </c:pt>
                <c:pt idx="9">
                  <c:v>14.550328</c:v>
                </c:pt>
                <c:pt idx="10">
                  <c:v>11.428642</c:v>
                </c:pt>
                <c:pt idx="11">
                  <c:v>14.179969</c:v>
                </c:pt>
                <c:pt idx="12">
                  <c:v>11.904836</c:v>
                </c:pt>
                <c:pt idx="13">
                  <c:v>17.619157999999999</c:v>
                </c:pt>
                <c:pt idx="14">
                  <c:v>14.444494000000001</c:v>
                </c:pt>
                <c:pt idx="15">
                  <c:v>14.550304000000001</c:v>
                </c:pt>
                <c:pt idx="16">
                  <c:v>14.391613</c:v>
                </c:pt>
                <c:pt idx="17">
                  <c:v>14.391613</c:v>
                </c:pt>
                <c:pt idx="18">
                  <c:v>14.497453999999999</c:v>
                </c:pt>
                <c:pt idx="19">
                  <c:v>14.762003</c:v>
                </c:pt>
                <c:pt idx="20">
                  <c:v>14.973644999999999</c:v>
                </c:pt>
                <c:pt idx="21">
                  <c:v>17.301701999999999</c:v>
                </c:pt>
                <c:pt idx="22">
                  <c:v>14.867822</c:v>
                </c:pt>
                <c:pt idx="23">
                  <c:v>14.60327</c:v>
                </c:pt>
                <c:pt idx="24">
                  <c:v>14.550352</c:v>
                </c:pt>
                <c:pt idx="25">
                  <c:v>15.873135</c:v>
                </c:pt>
                <c:pt idx="26">
                  <c:v>14.285814999999999</c:v>
                </c:pt>
                <c:pt idx="27">
                  <c:v>14.86783</c:v>
                </c:pt>
                <c:pt idx="28">
                  <c:v>14.920735000000001</c:v>
                </c:pt>
                <c:pt idx="29">
                  <c:v>16.084765999999998</c:v>
                </c:pt>
                <c:pt idx="30">
                  <c:v>15.026593</c:v>
                </c:pt>
                <c:pt idx="31">
                  <c:v>14.709091000000001</c:v>
                </c:pt>
                <c:pt idx="32">
                  <c:v>14.709091000000001</c:v>
                </c:pt>
                <c:pt idx="33">
                  <c:v>14.179969</c:v>
                </c:pt>
                <c:pt idx="34">
                  <c:v>14.603281000000001</c:v>
                </c:pt>
                <c:pt idx="35">
                  <c:v>14.338684000000001</c:v>
                </c:pt>
                <c:pt idx="36">
                  <c:v>14.603281000000001</c:v>
                </c:pt>
                <c:pt idx="37">
                  <c:v>14.97364</c:v>
                </c:pt>
                <c:pt idx="38">
                  <c:v>14.97364</c:v>
                </c:pt>
                <c:pt idx="39">
                  <c:v>14.867825</c:v>
                </c:pt>
                <c:pt idx="40">
                  <c:v>14.60327</c:v>
                </c:pt>
                <c:pt idx="41">
                  <c:v>14.656186</c:v>
                </c:pt>
                <c:pt idx="42">
                  <c:v>14.920733999999999</c:v>
                </c:pt>
                <c:pt idx="43">
                  <c:v>15.185290999999999</c:v>
                </c:pt>
                <c:pt idx="44">
                  <c:v>14.762003</c:v>
                </c:pt>
                <c:pt idx="45">
                  <c:v>14.814908000000001</c:v>
                </c:pt>
                <c:pt idx="46">
                  <c:v>11.904847999999999</c:v>
                </c:pt>
                <c:pt idx="47">
                  <c:v>14.497446999999999</c:v>
                </c:pt>
                <c:pt idx="48">
                  <c:v>14.656174999999999</c:v>
                </c:pt>
                <c:pt idx="49">
                  <c:v>14.603256999999999</c:v>
                </c:pt>
                <c:pt idx="50">
                  <c:v>14.814878</c:v>
                </c:pt>
                <c:pt idx="51">
                  <c:v>15.132379999999999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F-454B-9696-AC912052F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517279"/>
        <c:axId val="1462515839"/>
      </c:scatterChart>
      <c:valAx>
        <c:axId val="146251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62515839"/>
        <c:crosses val="autoZero"/>
        <c:crossBetween val="midCat"/>
      </c:valAx>
      <c:valAx>
        <c:axId val="14625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6251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dataSeveralAnal!$AH$60:$AH$79</c:f>
              <c:numCache>
                <c:formatCode>General</c:formatCode>
                <c:ptCount val="20"/>
                <c:pt idx="1">
                  <c:v>0</c:v>
                </c:pt>
                <c:pt idx="2">
                  <c:v>2.0157999999999999E-2</c:v>
                </c:pt>
                <c:pt idx="3">
                  <c:v>4.0318999999999994E-2</c:v>
                </c:pt>
                <c:pt idx="4">
                  <c:v>6.047799999999999E-2</c:v>
                </c:pt>
                <c:pt idx="5">
                  <c:v>8.0628999999999992E-2</c:v>
                </c:pt>
                <c:pt idx="6">
                  <c:v>0.10079299999999999</c:v>
                </c:pt>
                <c:pt idx="7">
                  <c:v>0.12097999999999999</c:v>
                </c:pt>
                <c:pt idx="8">
                  <c:v>0.14113699999999998</c:v>
                </c:pt>
                <c:pt idx="9">
                  <c:v>0.16132799999999997</c:v>
                </c:pt>
                <c:pt idx="10">
                  <c:v>0.18148399999999998</c:v>
                </c:pt>
                <c:pt idx="11">
                  <c:v>0.20163999999999999</c:v>
                </c:pt>
                <c:pt idx="12">
                  <c:v>0.22180499999999997</c:v>
                </c:pt>
                <c:pt idx="13">
                  <c:v>0.24197099999999996</c:v>
                </c:pt>
                <c:pt idx="14">
                  <c:v>0.26212499999999994</c:v>
                </c:pt>
                <c:pt idx="15">
                  <c:v>0.28228699999999995</c:v>
                </c:pt>
                <c:pt idx="16">
                  <c:v>0.30245399999999995</c:v>
                </c:pt>
                <c:pt idx="17">
                  <c:v>0.32260899999999992</c:v>
                </c:pt>
                <c:pt idx="18">
                  <c:v>0.34279999999999994</c:v>
                </c:pt>
                <c:pt idx="19">
                  <c:v>0.36297299999999993</c:v>
                </c:pt>
              </c:numCache>
            </c:numRef>
          </c:xVal>
          <c:yVal>
            <c:numRef>
              <c:f>dataSeveralAnal!$AI$60:$AI$79</c:f>
              <c:numCache>
                <c:formatCode>General</c:formatCode>
                <c:ptCount val="20"/>
                <c:pt idx="1">
                  <c:v>0.52910999999999997</c:v>
                </c:pt>
                <c:pt idx="2">
                  <c:v>3.9682979999999999</c:v>
                </c:pt>
                <c:pt idx="4">
                  <c:v>8.6243870000000005</c:v>
                </c:pt>
                <c:pt idx="5">
                  <c:v>10.15879</c:v>
                </c:pt>
                <c:pt idx="6">
                  <c:v>11.322844999999999</c:v>
                </c:pt>
                <c:pt idx="7">
                  <c:v>11.904836</c:v>
                </c:pt>
                <c:pt idx="8">
                  <c:v>12.328099999999999</c:v>
                </c:pt>
                <c:pt idx="9">
                  <c:v>14.550328</c:v>
                </c:pt>
                <c:pt idx="10">
                  <c:v>11.428642</c:v>
                </c:pt>
                <c:pt idx="11">
                  <c:v>14.179969</c:v>
                </c:pt>
                <c:pt idx="12">
                  <c:v>11.904836</c:v>
                </c:pt>
                <c:pt idx="13">
                  <c:v>17.619157999999999</c:v>
                </c:pt>
                <c:pt idx="14">
                  <c:v>14.444494000000001</c:v>
                </c:pt>
                <c:pt idx="15">
                  <c:v>14.550304000000001</c:v>
                </c:pt>
                <c:pt idx="16">
                  <c:v>14.391613</c:v>
                </c:pt>
                <c:pt idx="17">
                  <c:v>14.391613</c:v>
                </c:pt>
                <c:pt idx="18">
                  <c:v>14.497453999999999</c:v>
                </c:pt>
                <c:pt idx="19">
                  <c:v>14.762003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F-425B-BD3C-5225387C5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549919"/>
        <c:axId val="1462543679"/>
      </c:scatterChart>
      <c:valAx>
        <c:axId val="146254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62543679"/>
        <c:crosses val="autoZero"/>
        <c:crossBetween val="midCat"/>
      </c:valAx>
      <c:valAx>
        <c:axId val="14625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625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 respons at 1.25</a:t>
            </a:r>
            <a:r>
              <a:rPr lang="da-DK" baseline="0"/>
              <a:t>V aprox 20% duty cycle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dataSeveralAnal!$D$77:$D$128</c:f>
              <c:numCache>
                <c:formatCode>General</c:formatCode>
                <c:ptCount val="52"/>
                <c:pt idx="1">
                  <c:v>0</c:v>
                </c:pt>
                <c:pt idx="2">
                  <c:v>2.0153999999999998E-2</c:v>
                </c:pt>
                <c:pt idx="3">
                  <c:v>4.0316999999999999E-2</c:v>
                </c:pt>
                <c:pt idx="4">
                  <c:v>6.0470999999999997E-2</c:v>
                </c:pt>
                <c:pt idx="5">
                  <c:v>8.0629999999999993E-2</c:v>
                </c:pt>
                <c:pt idx="6">
                  <c:v>0.10079099999999999</c:v>
                </c:pt>
                <c:pt idx="7">
                  <c:v>0.120945</c:v>
                </c:pt>
                <c:pt idx="8">
                  <c:v>0.141099</c:v>
                </c:pt>
                <c:pt idx="9">
                  <c:v>0.16125500000000001</c:v>
                </c:pt>
                <c:pt idx="10">
                  <c:v>0.18141000000000002</c:v>
                </c:pt>
                <c:pt idx="11">
                  <c:v>0.201571</c:v>
                </c:pt>
                <c:pt idx="12">
                  <c:v>0.22172600000000001</c:v>
                </c:pt>
                <c:pt idx="13">
                  <c:v>0.24190400000000001</c:v>
                </c:pt>
                <c:pt idx="14">
                  <c:v>0.26206099999999999</c:v>
                </c:pt>
                <c:pt idx="15">
                  <c:v>0.28221499999999999</c:v>
                </c:pt>
                <c:pt idx="16">
                  <c:v>0.302373</c:v>
                </c:pt>
                <c:pt idx="17">
                  <c:v>0.32256600000000002</c:v>
                </c:pt>
                <c:pt idx="18">
                  <c:v>0.342721</c:v>
                </c:pt>
                <c:pt idx="19">
                  <c:v>0.36290499999999998</c:v>
                </c:pt>
                <c:pt idx="20">
                  <c:v>0.38305799999999995</c:v>
                </c:pt>
                <c:pt idx="21">
                  <c:v>0.40321699999999994</c:v>
                </c:pt>
                <c:pt idx="22">
                  <c:v>0.42337199999999992</c:v>
                </c:pt>
                <c:pt idx="23">
                  <c:v>0.44354699999999991</c:v>
                </c:pt>
                <c:pt idx="24">
                  <c:v>0.46370099999999992</c:v>
                </c:pt>
                <c:pt idx="25">
                  <c:v>0.48385899999999993</c:v>
                </c:pt>
                <c:pt idx="26">
                  <c:v>0.50401799999999997</c:v>
                </c:pt>
                <c:pt idx="27">
                  <c:v>0.524173</c:v>
                </c:pt>
                <c:pt idx="28">
                  <c:v>0.54433100000000001</c:v>
                </c:pt>
                <c:pt idx="29">
                  <c:v>0.56450299999999998</c:v>
                </c:pt>
                <c:pt idx="30">
                  <c:v>0.584677</c:v>
                </c:pt>
                <c:pt idx="31">
                  <c:v>0.60483900000000002</c:v>
                </c:pt>
                <c:pt idx="32">
                  <c:v>0.62499700000000002</c:v>
                </c:pt>
                <c:pt idx="33">
                  <c:v>0.64515500000000003</c:v>
                </c:pt>
                <c:pt idx="34">
                  <c:v>0.66531499999999999</c:v>
                </c:pt>
                <c:pt idx="35">
                  <c:v>0.68548399999999998</c:v>
                </c:pt>
                <c:pt idx="36">
                  <c:v>0.70564300000000002</c:v>
                </c:pt>
                <c:pt idx="37">
                  <c:v>0.72580299999999998</c:v>
                </c:pt>
                <c:pt idx="38">
                  <c:v>0.74599599999999999</c:v>
                </c:pt>
                <c:pt idx="39">
                  <c:v>0.76615100000000003</c:v>
                </c:pt>
                <c:pt idx="40">
                  <c:v>0.78630900000000004</c:v>
                </c:pt>
                <c:pt idx="41">
                  <c:v>0.80647500000000005</c:v>
                </c:pt>
                <c:pt idx="42">
                  <c:v>0.82663300000000006</c:v>
                </c:pt>
                <c:pt idx="43">
                  <c:v>0.84679000000000004</c:v>
                </c:pt>
                <c:pt idx="44">
                  <c:v>0.86694500000000008</c:v>
                </c:pt>
                <c:pt idx="45">
                  <c:v>0.88709800000000005</c:v>
                </c:pt>
                <c:pt idx="46">
                  <c:v>0.90725100000000003</c:v>
                </c:pt>
                <c:pt idx="47">
                  <c:v>0.92741700000000005</c:v>
                </c:pt>
                <c:pt idx="48">
                  <c:v>0.94756800000000008</c:v>
                </c:pt>
                <c:pt idx="49">
                  <c:v>0.96771800000000008</c:v>
                </c:pt>
                <c:pt idx="50">
                  <c:v>0.98788100000000012</c:v>
                </c:pt>
              </c:numCache>
            </c:numRef>
          </c:xVal>
          <c:yVal>
            <c:numRef>
              <c:f>dataSeveralAnal!$E$77:$E$128</c:f>
              <c:numCache>
                <c:formatCode>General</c:formatCode>
                <c:ptCount val="52"/>
                <c:pt idx="1">
                  <c:v>1.005298</c:v>
                </c:pt>
                <c:pt idx="3">
                  <c:v>3.5449950000000001</c:v>
                </c:pt>
                <c:pt idx="4">
                  <c:v>4.4444679999999996</c:v>
                </c:pt>
                <c:pt idx="5">
                  <c:v>5.0793980000000003</c:v>
                </c:pt>
                <c:pt idx="7">
                  <c:v>6.5608909999999998</c:v>
                </c:pt>
                <c:pt idx="8">
                  <c:v>7.6190959999999999</c:v>
                </c:pt>
                <c:pt idx="9">
                  <c:v>7.7778270000000003</c:v>
                </c:pt>
                <c:pt idx="12">
                  <c:v>8.888954</c:v>
                </c:pt>
                <c:pt idx="13">
                  <c:v>9.4180530000000005</c:v>
                </c:pt>
                <c:pt idx="15">
                  <c:v>9.7355250000000009</c:v>
                </c:pt>
                <c:pt idx="16">
                  <c:v>9.9471450000000008</c:v>
                </c:pt>
                <c:pt idx="17">
                  <c:v>10.211695000000001</c:v>
                </c:pt>
                <c:pt idx="19">
                  <c:v>10.687851999999999</c:v>
                </c:pt>
                <c:pt idx="21">
                  <c:v>10.740829</c:v>
                </c:pt>
                <c:pt idx="22">
                  <c:v>12.010645999999999</c:v>
                </c:pt>
                <c:pt idx="23">
                  <c:v>11.005354000000001</c:v>
                </c:pt>
                <c:pt idx="24">
                  <c:v>11.217022</c:v>
                </c:pt>
                <c:pt idx="25">
                  <c:v>11.375737000000001</c:v>
                </c:pt>
                <c:pt idx="26">
                  <c:v>12.222314000000001</c:v>
                </c:pt>
                <c:pt idx="27">
                  <c:v>11.269926999999999</c:v>
                </c:pt>
                <c:pt idx="28">
                  <c:v>11.269902999999999</c:v>
                </c:pt>
                <c:pt idx="29">
                  <c:v>11.058235</c:v>
                </c:pt>
                <c:pt idx="30">
                  <c:v>11.904859999999999</c:v>
                </c:pt>
                <c:pt idx="31">
                  <c:v>11.481571000000001</c:v>
                </c:pt>
                <c:pt idx="32">
                  <c:v>11.481571000000001</c:v>
                </c:pt>
                <c:pt idx="33">
                  <c:v>11.746109000000001</c:v>
                </c:pt>
                <c:pt idx="34">
                  <c:v>10.423349999999999</c:v>
                </c:pt>
                <c:pt idx="35">
                  <c:v>11.851933000000001</c:v>
                </c:pt>
                <c:pt idx="36">
                  <c:v>11.640288</c:v>
                </c:pt>
                <c:pt idx="37">
                  <c:v>11.957746999999999</c:v>
                </c:pt>
                <c:pt idx="38">
                  <c:v>11.587376000000001</c:v>
                </c:pt>
                <c:pt idx="39">
                  <c:v>11.428637</c:v>
                </c:pt>
                <c:pt idx="40">
                  <c:v>11.428654999999999</c:v>
                </c:pt>
                <c:pt idx="41">
                  <c:v>11.746119999999999</c:v>
                </c:pt>
                <c:pt idx="42">
                  <c:v>11.799037999999999</c:v>
                </c:pt>
                <c:pt idx="43">
                  <c:v>11.799026</c:v>
                </c:pt>
                <c:pt idx="44">
                  <c:v>11.904847999999999</c:v>
                </c:pt>
                <c:pt idx="45">
                  <c:v>11.904847999999999</c:v>
                </c:pt>
                <c:pt idx="46">
                  <c:v>11.693192</c:v>
                </c:pt>
                <c:pt idx="47">
                  <c:v>11.587358</c:v>
                </c:pt>
                <c:pt idx="49">
                  <c:v>11.693192</c:v>
                </c:pt>
                <c:pt idx="50">
                  <c:v>11.640286</c:v>
                </c:pt>
                <c:pt idx="51">
                  <c:v>11.481547000000001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D-4392-9C36-F11ED2F9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25967"/>
        <c:axId val="848609647"/>
      </c:scatterChart>
      <c:valAx>
        <c:axId val="84862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</a:t>
                </a:r>
                <a:r>
                  <a:rPr lang="da-DK" baseline="0"/>
                  <a:t> [s]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48609647"/>
        <c:crosses val="autoZero"/>
        <c:crossBetween val="midCat"/>
      </c:valAx>
      <c:valAx>
        <c:axId val="8486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4862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dataSeveralAnal!$Q$78:$Q$127</c:f>
              <c:numCache>
                <c:formatCode>General</c:formatCode>
                <c:ptCount val="50"/>
                <c:pt idx="0">
                  <c:v>0</c:v>
                </c:pt>
                <c:pt idx="1">
                  <c:v>2.0164999999999999E-2</c:v>
                </c:pt>
                <c:pt idx="2">
                  <c:v>4.0322999999999998E-2</c:v>
                </c:pt>
                <c:pt idx="3">
                  <c:v>6.0476999999999996E-2</c:v>
                </c:pt>
                <c:pt idx="4">
                  <c:v>8.0638999999999988E-2</c:v>
                </c:pt>
                <c:pt idx="5">
                  <c:v>0.10079899999999999</c:v>
                </c:pt>
                <c:pt idx="6">
                  <c:v>0.12095599999999998</c:v>
                </c:pt>
                <c:pt idx="7">
                  <c:v>0.14114599999999999</c:v>
                </c:pt>
                <c:pt idx="8">
                  <c:v>0.161306</c:v>
                </c:pt>
                <c:pt idx="9">
                  <c:v>0.18146300000000001</c:v>
                </c:pt>
                <c:pt idx="10">
                  <c:v>0.20164800000000002</c:v>
                </c:pt>
                <c:pt idx="11">
                  <c:v>0.22180500000000003</c:v>
                </c:pt>
                <c:pt idx="12">
                  <c:v>0.24198900000000004</c:v>
                </c:pt>
                <c:pt idx="13">
                  <c:v>0.26216200000000006</c:v>
                </c:pt>
                <c:pt idx="14">
                  <c:v>0.28231900000000004</c:v>
                </c:pt>
                <c:pt idx="15">
                  <c:v>0.30248100000000006</c:v>
                </c:pt>
                <c:pt idx="16">
                  <c:v>0.32264100000000007</c:v>
                </c:pt>
                <c:pt idx="17">
                  <c:v>0.34279400000000004</c:v>
                </c:pt>
                <c:pt idx="18">
                  <c:v>0.36295000000000005</c:v>
                </c:pt>
                <c:pt idx="19">
                  <c:v>0.38311400000000007</c:v>
                </c:pt>
                <c:pt idx="20">
                  <c:v>0.40327100000000005</c:v>
                </c:pt>
                <c:pt idx="21">
                  <c:v>0.42345200000000005</c:v>
                </c:pt>
                <c:pt idx="22">
                  <c:v>0.44361300000000004</c:v>
                </c:pt>
                <c:pt idx="23">
                  <c:v>0.46377700000000005</c:v>
                </c:pt>
                <c:pt idx="24">
                  <c:v>0.48393200000000003</c:v>
                </c:pt>
                <c:pt idx="25">
                  <c:v>0.50412299999999999</c:v>
                </c:pt>
                <c:pt idx="26">
                  <c:v>0.524281</c:v>
                </c:pt>
                <c:pt idx="27">
                  <c:v>0.54443900000000001</c:v>
                </c:pt>
                <c:pt idx="28">
                  <c:v>0.56462599999999996</c:v>
                </c:pt>
                <c:pt idx="29">
                  <c:v>0.58478699999999995</c:v>
                </c:pt>
                <c:pt idx="30">
                  <c:v>0.60494799999999993</c:v>
                </c:pt>
                <c:pt idx="31">
                  <c:v>0.62510999999999994</c:v>
                </c:pt>
                <c:pt idx="32">
                  <c:v>0.64525999999999994</c:v>
                </c:pt>
                <c:pt idx="33">
                  <c:v>0.6654159999999999</c:v>
                </c:pt>
                <c:pt idx="34">
                  <c:v>0.68559899999999985</c:v>
                </c:pt>
                <c:pt idx="35">
                  <c:v>0.70577999999999985</c:v>
                </c:pt>
                <c:pt idx="36">
                  <c:v>0.72594999999999987</c:v>
                </c:pt>
                <c:pt idx="37">
                  <c:v>0.74611199999999989</c:v>
                </c:pt>
                <c:pt idx="38">
                  <c:v>0.76626899999999987</c:v>
                </c:pt>
                <c:pt idx="39">
                  <c:v>0.78642299999999987</c:v>
                </c:pt>
                <c:pt idx="40">
                  <c:v>0.80657799999999991</c:v>
                </c:pt>
                <c:pt idx="41">
                  <c:v>0.82673999999999992</c:v>
                </c:pt>
                <c:pt idx="42">
                  <c:v>0.84690599999999994</c:v>
                </c:pt>
                <c:pt idx="43">
                  <c:v>0.86705999999999994</c:v>
                </c:pt>
                <c:pt idx="44">
                  <c:v>0.88721599999999989</c:v>
                </c:pt>
                <c:pt idx="45">
                  <c:v>0.90737599999999985</c:v>
                </c:pt>
                <c:pt idx="46">
                  <c:v>0.92753399999999986</c:v>
                </c:pt>
                <c:pt idx="47">
                  <c:v>0.94768799999999986</c:v>
                </c:pt>
                <c:pt idx="48">
                  <c:v>0.96785699999999986</c:v>
                </c:pt>
                <c:pt idx="49">
                  <c:v>0.9880469999999999</c:v>
                </c:pt>
              </c:numCache>
            </c:numRef>
          </c:xVal>
          <c:yVal>
            <c:numRef>
              <c:f>dataSeveralAnal!$R$78:$R$127</c:f>
              <c:numCache>
                <c:formatCode>General</c:formatCode>
                <c:ptCount val="50"/>
                <c:pt idx="0">
                  <c:v>0</c:v>
                </c:pt>
                <c:pt idx="1">
                  <c:v>2.910072</c:v>
                </c:pt>
                <c:pt idx="2">
                  <c:v>2.4867849999999998</c:v>
                </c:pt>
                <c:pt idx="3">
                  <c:v>3.9682789999999999</c:v>
                </c:pt>
                <c:pt idx="4">
                  <c:v>5.0794069999999998</c:v>
                </c:pt>
                <c:pt idx="5">
                  <c:v>8.5714760000000005</c:v>
                </c:pt>
                <c:pt idx="7">
                  <c:v>7.8307450000000003</c:v>
                </c:pt>
                <c:pt idx="8">
                  <c:v>8.5715000000000003</c:v>
                </c:pt>
                <c:pt idx="9">
                  <c:v>9.9471570000000007</c:v>
                </c:pt>
                <c:pt idx="10">
                  <c:v>9.5238689999999995</c:v>
                </c:pt>
                <c:pt idx="11">
                  <c:v>9.6826080000000001</c:v>
                </c:pt>
                <c:pt idx="12">
                  <c:v>10.2646</c:v>
                </c:pt>
                <c:pt idx="13">
                  <c:v>10.899532000000001</c:v>
                </c:pt>
                <c:pt idx="14">
                  <c:v>11.111188</c:v>
                </c:pt>
                <c:pt idx="15">
                  <c:v>11.058282999999999</c:v>
                </c:pt>
                <c:pt idx="16">
                  <c:v>11.322832</c:v>
                </c:pt>
                <c:pt idx="17">
                  <c:v>11.693192</c:v>
                </c:pt>
                <c:pt idx="18">
                  <c:v>11.746143999999999</c:v>
                </c:pt>
                <c:pt idx="19">
                  <c:v>11.640286</c:v>
                </c:pt>
                <c:pt idx="20">
                  <c:v>11.957765</c:v>
                </c:pt>
                <c:pt idx="21">
                  <c:v>11.957741</c:v>
                </c:pt>
                <c:pt idx="22">
                  <c:v>10.105896</c:v>
                </c:pt>
                <c:pt idx="23">
                  <c:v>11.851931</c:v>
                </c:pt>
                <c:pt idx="24">
                  <c:v>12.169409</c:v>
                </c:pt>
                <c:pt idx="25">
                  <c:v>12.433909999999999</c:v>
                </c:pt>
                <c:pt idx="26">
                  <c:v>12.380981</c:v>
                </c:pt>
                <c:pt idx="27">
                  <c:v>12.380981</c:v>
                </c:pt>
                <c:pt idx="28">
                  <c:v>12.910133999999999</c:v>
                </c:pt>
                <c:pt idx="29">
                  <c:v>10.211715999999999</c:v>
                </c:pt>
                <c:pt idx="30">
                  <c:v>12.48686</c:v>
                </c:pt>
                <c:pt idx="31">
                  <c:v>12.910138</c:v>
                </c:pt>
                <c:pt idx="32">
                  <c:v>12.857224</c:v>
                </c:pt>
                <c:pt idx="33">
                  <c:v>12.539762</c:v>
                </c:pt>
                <c:pt idx="34">
                  <c:v>12.592668</c:v>
                </c:pt>
                <c:pt idx="35">
                  <c:v>12.645567</c:v>
                </c:pt>
                <c:pt idx="36">
                  <c:v>12.751412</c:v>
                </c:pt>
                <c:pt idx="37">
                  <c:v>12.592662000000001</c:v>
                </c:pt>
                <c:pt idx="38">
                  <c:v>12.698496</c:v>
                </c:pt>
                <c:pt idx="39">
                  <c:v>12.539744000000001</c:v>
                </c:pt>
                <c:pt idx="40">
                  <c:v>12.486815</c:v>
                </c:pt>
                <c:pt idx="41">
                  <c:v>12.592649</c:v>
                </c:pt>
                <c:pt idx="42">
                  <c:v>12.539768</c:v>
                </c:pt>
                <c:pt idx="43">
                  <c:v>10.899544000000001</c:v>
                </c:pt>
                <c:pt idx="44">
                  <c:v>12.592649</c:v>
                </c:pt>
                <c:pt idx="45">
                  <c:v>12.486863</c:v>
                </c:pt>
                <c:pt idx="46">
                  <c:v>12.433934000000001</c:v>
                </c:pt>
                <c:pt idx="47">
                  <c:v>12.169409</c:v>
                </c:pt>
                <c:pt idx="48">
                  <c:v>11.322832</c:v>
                </c:pt>
                <c:pt idx="49">
                  <c:v>12.328148000000001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7-4EAD-ACAC-A4F07AA2F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32687"/>
        <c:axId val="848626927"/>
      </c:scatterChart>
      <c:valAx>
        <c:axId val="8486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48626927"/>
        <c:crosses val="autoZero"/>
        <c:crossBetween val="midCat"/>
      </c:valAx>
      <c:valAx>
        <c:axId val="8486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4863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Voltage to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8.6925171947453056E-2"/>
          <c:y val="0.15080735398874653"/>
          <c:w val="0.8734828291303629"/>
          <c:h val="0.68168050008404102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dataSeveralAnal!$L$57</c:f>
              <c:strCache>
                <c:ptCount val="1"/>
                <c:pt idx="0">
                  <c:v>MOSFET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dataSeveralAnal!$K$58:$K$78</c:f>
              <c:numCache>
                <c:formatCode>General</c:formatCode>
                <c:ptCount val="2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  <c:pt idx="11">
                  <c:v>3.25</c:v>
                </c:pt>
                <c:pt idx="12">
                  <c:v>3.5</c:v>
                </c:pt>
                <c:pt idx="14">
                  <c:v>4</c:v>
                </c:pt>
                <c:pt idx="15">
                  <c:v>4.25</c:v>
                </c:pt>
                <c:pt idx="16">
                  <c:v>4.5</c:v>
                </c:pt>
                <c:pt idx="17">
                  <c:v>4.75</c:v>
                </c:pt>
                <c:pt idx="18">
                  <c:v>5</c:v>
                </c:pt>
                <c:pt idx="19">
                  <c:v>5.25</c:v>
                </c:pt>
                <c:pt idx="20">
                  <c:v>5.5</c:v>
                </c:pt>
              </c:numCache>
            </c:numRef>
          </c:xVal>
          <c:yVal>
            <c:numRef>
              <c:f>dataSeveralAnal!$L$58:$L$78</c:f>
              <c:numCache>
                <c:formatCode>General</c:formatCode>
                <c:ptCount val="21"/>
                <c:pt idx="0">
                  <c:v>3.465635893</c:v>
                </c:pt>
                <c:pt idx="1">
                  <c:v>7.479963111</c:v>
                </c:pt>
                <c:pt idx="2">
                  <c:v>9.8395106549999998</c:v>
                </c:pt>
                <c:pt idx="3">
                  <c:v>11.470611829999999</c:v>
                </c:pt>
                <c:pt idx="4">
                  <c:v>12.19492614</c:v>
                </c:pt>
                <c:pt idx="5">
                  <c:v>13.444714380000001</c:v>
                </c:pt>
                <c:pt idx="6">
                  <c:v>13.650883309999999</c:v>
                </c:pt>
                <c:pt idx="7">
                  <c:v>14.211004000000001</c:v>
                </c:pt>
                <c:pt idx="8">
                  <c:v>15.063184079999999</c:v>
                </c:pt>
                <c:pt idx="9">
                  <c:v>14.714564660000001</c:v>
                </c:pt>
                <c:pt idx="10">
                  <c:v>15.024737930000001</c:v>
                </c:pt>
                <c:pt idx="11">
                  <c:v>14.98094603</c:v>
                </c:pt>
                <c:pt idx="12">
                  <c:v>15.053917139999999</c:v>
                </c:pt>
                <c:pt idx="14">
                  <c:v>15.21629824</c:v>
                </c:pt>
                <c:pt idx="15">
                  <c:v>15.66147831</c:v>
                </c:pt>
                <c:pt idx="16">
                  <c:v>15.79831779</c:v>
                </c:pt>
                <c:pt idx="17">
                  <c:v>15.81838434</c:v>
                </c:pt>
                <c:pt idx="18">
                  <c:v>15.86034903</c:v>
                </c:pt>
                <c:pt idx="19">
                  <c:v>16.07381062</c:v>
                </c:pt>
                <c:pt idx="20">
                  <c:v>16.18146162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D-4A80-8EC8-E6F4A41B7BBC}"/>
            </c:ext>
          </c:extLst>
        </c:ser>
        <c:ser>
          <c:idx val="1"/>
          <c:order val="1"/>
          <c:tx>
            <c:strRef>
              <c:f>dataSeveralAnal!$M$57</c:f>
              <c:strCache>
                <c:ptCount val="1"/>
                <c:pt idx="0">
                  <c:v>Power Suply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dataSeveralAnal!$K$58:$K$78</c:f>
              <c:numCache>
                <c:formatCode>General</c:formatCode>
                <c:ptCount val="2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  <c:pt idx="11">
                  <c:v>3.25</c:v>
                </c:pt>
                <c:pt idx="12">
                  <c:v>3.5</c:v>
                </c:pt>
                <c:pt idx="14">
                  <c:v>4</c:v>
                </c:pt>
                <c:pt idx="15">
                  <c:v>4.25</c:v>
                </c:pt>
                <c:pt idx="16">
                  <c:v>4.5</c:v>
                </c:pt>
                <c:pt idx="17">
                  <c:v>4.75</c:v>
                </c:pt>
                <c:pt idx="18">
                  <c:v>5</c:v>
                </c:pt>
                <c:pt idx="19">
                  <c:v>5.25</c:v>
                </c:pt>
                <c:pt idx="20">
                  <c:v>5.5</c:v>
                </c:pt>
              </c:numCache>
            </c:numRef>
          </c:xVal>
          <c:yVal>
            <c:numRef>
              <c:f>dataSeveralAnal!$M$58:$M$78</c:f>
              <c:numCache>
                <c:formatCode>General</c:formatCode>
                <c:ptCount val="21"/>
                <c:pt idx="0">
                  <c:v>0.94</c:v>
                </c:pt>
                <c:pt idx="2">
                  <c:v>2.2000000000000002</c:v>
                </c:pt>
                <c:pt idx="4">
                  <c:v>3.9</c:v>
                </c:pt>
                <c:pt idx="6">
                  <c:v>5.2</c:v>
                </c:pt>
                <c:pt idx="8">
                  <c:v>6.4</c:v>
                </c:pt>
                <c:pt idx="10">
                  <c:v>8.1</c:v>
                </c:pt>
                <c:pt idx="12">
                  <c:v>8.6999999999999993</c:v>
                </c:pt>
                <c:pt idx="14">
                  <c:v>10</c:v>
                </c:pt>
                <c:pt idx="16">
                  <c:v>11.9</c:v>
                </c:pt>
                <c:pt idx="18">
                  <c:v>12.4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D-4A80-8EC8-E6F4A41B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217391"/>
        <c:axId val="243662255"/>
      </c:scatterChart>
      <c:valAx>
        <c:axId val="206821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3662255"/>
        <c:crosses val="autoZero"/>
        <c:crossBetween val="midCat"/>
      </c:valAx>
      <c:valAx>
        <c:axId val="2436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6821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87617101760577"/>
          <c:y val="3.5659280428223493E-2"/>
          <c:w val="0.31123825873022903"/>
          <c:h val="6.9541013863164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242241</xdr:colOff>
      <xdr:row>56</xdr:row>
      <xdr:rowOff>80669</xdr:rowOff>
    </xdr:from>
    <xdr:to>
      <xdr:col>7</xdr:col>
      <xdr:colOff>533871</xdr:colOff>
      <xdr:row>71</xdr:row>
      <xdr:rowOff>1646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0F6E1-3FFA-FA74-4169-8E35F7CD1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512885</xdr:colOff>
      <xdr:row>60</xdr:row>
      <xdr:rowOff>123092</xdr:rowOff>
    </xdr:from>
    <xdr:to>
      <xdr:col>29</xdr:col>
      <xdr:colOff>239346</xdr:colOff>
      <xdr:row>75</xdr:row>
      <xdr:rowOff>82061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FF003-78C6-18BE-4414-B87F1742F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239403</xdr:colOff>
      <xdr:row>54</xdr:row>
      <xdr:rowOff>15183</xdr:rowOff>
    </xdr:from>
    <xdr:to>
      <xdr:col>43</xdr:col>
      <xdr:colOff>519679</xdr:colOff>
      <xdr:row>69</xdr:row>
      <xdr:rowOff>21314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32B8B7-E780-8B53-7AAC-AF0864816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494862</xdr:colOff>
      <xdr:row>71</xdr:row>
      <xdr:rowOff>80871</xdr:rowOff>
    </xdr:from>
    <xdr:to>
      <xdr:col>43</xdr:col>
      <xdr:colOff>162035</xdr:colOff>
      <xdr:row>86</xdr:row>
      <xdr:rowOff>87002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C7246C-4C3D-E785-4C6B-4CFD5B0B1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169130</xdr:colOff>
      <xdr:row>79</xdr:row>
      <xdr:rowOff>154843</xdr:rowOff>
    </xdr:from>
    <xdr:to>
      <xdr:col>13</xdr:col>
      <xdr:colOff>467091</xdr:colOff>
      <xdr:row>94</xdr:row>
      <xdr:rowOff>150446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40B533-E88F-DFB8-1C11-1D6CB27A5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323022</xdr:colOff>
      <xdr:row>77</xdr:row>
      <xdr:rowOff>31842</xdr:rowOff>
    </xdr:from>
    <xdr:to>
      <xdr:col>26</xdr:col>
      <xdr:colOff>35891</xdr:colOff>
      <xdr:row>92</xdr:row>
      <xdr:rowOff>14173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C9EC68-53F1-1643-D34E-FBDF54661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371783</xdr:colOff>
      <xdr:row>58</xdr:row>
      <xdr:rowOff>82755</xdr:rowOff>
    </xdr:from>
    <xdr:to>
      <xdr:col>21</xdr:col>
      <xdr:colOff>41639</xdr:colOff>
      <xdr:row>74</xdr:row>
      <xdr:rowOff>166558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7C1825-D879-08E3-ED06-BDAF00E9C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7DDC-DF0B-494E-A3F5-5B78F9E0E08D}">
  <dimension ref="A1:BN128"/>
  <sheetViews>
    <sheetView tabSelected="1" topLeftCell="A41" zoomScale="61" zoomScaleNormal="87" workbookViewId="0">
      <selection activeCell="AC83" sqref="AC83"/>
    </sheetView>
  </sheetViews>
  <sheetFormatPr defaultRowHeight="14.5" x14ac:dyDescent="0.35"/>
  <cols>
    <col min="13" max="13" width="8.7265625" customWidth="1"/>
  </cols>
  <sheetData>
    <row r="1" spans="1:66" x14ac:dyDescent="0.35">
      <c r="B1" t="s">
        <v>0</v>
      </c>
      <c r="C1" t="s">
        <v>1</v>
      </c>
      <c r="E1" t="s">
        <v>2</v>
      </c>
      <c r="F1">
        <v>0.5</v>
      </c>
      <c r="H1" t="s">
        <v>3</v>
      </c>
      <c r="I1">
        <v>0.75</v>
      </c>
      <c r="K1" t="s">
        <v>4</v>
      </c>
      <c r="L1">
        <v>1</v>
      </c>
      <c r="N1" t="s">
        <v>5</v>
      </c>
      <c r="O1">
        <v>1.25</v>
      </c>
      <c r="Q1" t="s">
        <v>6</v>
      </c>
      <c r="R1">
        <v>1.5</v>
      </c>
      <c r="T1" t="s">
        <v>7</v>
      </c>
      <c r="U1">
        <v>1.75</v>
      </c>
      <c r="W1" t="s">
        <v>8</v>
      </c>
      <c r="X1">
        <v>2</v>
      </c>
      <c r="Z1" t="s">
        <v>9</v>
      </c>
      <c r="AA1">
        <v>2.25</v>
      </c>
      <c r="AC1" t="s">
        <v>10</v>
      </c>
      <c r="AD1">
        <v>2.5</v>
      </c>
      <c r="AF1" t="s">
        <v>11</v>
      </c>
      <c r="AG1">
        <v>2.75</v>
      </c>
      <c r="AI1" t="s">
        <v>12</v>
      </c>
      <c r="AJ1">
        <v>3</v>
      </c>
      <c r="AL1" t="s">
        <v>13</v>
      </c>
      <c r="AM1">
        <v>3.25</v>
      </c>
      <c r="AO1" t="s">
        <v>14</v>
      </c>
      <c r="AP1">
        <v>3.5</v>
      </c>
      <c r="AR1" t="s">
        <v>15</v>
      </c>
      <c r="AS1">
        <v>4</v>
      </c>
      <c r="AU1" t="s">
        <v>16</v>
      </c>
      <c r="AV1">
        <v>4.25</v>
      </c>
      <c r="AX1" t="s">
        <v>17</v>
      </c>
      <c r="AY1">
        <v>4.5</v>
      </c>
      <c r="BA1" t="s">
        <v>18</v>
      </c>
      <c r="BB1">
        <v>4.75</v>
      </c>
      <c r="BD1" t="s">
        <v>19</v>
      </c>
      <c r="BE1">
        <v>5</v>
      </c>
      <c r="BG1" t="s">
        <v>20</v>
      </c>
      <c r="BH1">
        <v>5.25</v>
      </c>
      <c r="BJ1" t="s">
        <v>21</v>
      </c>
      <c r="BK1">
        <v>5.5</v>
      </c>
      <c r="BM1" t="s">
        <v>22</v>
      </c>
      <c r="BN1">
        <v>5.75</v>
      </c>
    </row>
    <row r="2" spans="1:66" x14ac:dyDescent="0.35">
      <c r="A2">
        <v>0</v>
      </c>
      <c r="B2">
        <v>13022887</v>
      </c>
      <c r="C2">
        <v>0</v>
      </c>
      <c r="E2">
        <v>19051446</v>
      </c>
      <c r="F2">
        <v>0.15873899999999999</v>
      </c>
      <c r="H2">
        <v>25079603</v>
      </c>
      <c r="I2">
        <v>0.15873000000000001</v>
      </c>
      <c r="K2">
        <v>31107923</v>
      </c>
      <c r="L2">
        <v>0.21163199999999999</v>
      </c>
      <c r="N2">
        <v>37136308</v>
      </c>
      <c r="O2">
        <v>1.005298</v>
      </c>
      <c r="Q2">
        <v>43164641</v>
      </c>
      <c r="R2">
        <v>2.910072</v>
      </c>
      <c r="T2">
        <v>49193200</v>
      </c>
      <c r="U2">
        <v>10.423325999999999</v>
      </c>
      <c r="W2">
        <v>55221756</v>
      </c>
      <c r="X2">
        <v>0.15873300000000001</v>
      </c>
      <c r="Z2">
        <v>61250269</v>
      </c>
      <c r="AA2">
        <v>5.2381520000000004</v>
      </c>
      <c r="AC2">
        <v>67278718</v>
      </c>
      <c r="AD2">
        <v>1.269841</v>
      </c>
      <c r="AF2">
        <v>73307180</v>
      </c>
      <c r="AG2">
        <v>0.52910999999999997</v>
      </c>
      <c r="AI2">
        <v>79335673</v>
      </c>
      <c r="AJ2">
        <v>0.10582800000000001</v>
      </c>
      <c r="AL2">
        <v>85364126</v>
      </c>
      <c r="AM2">
        <v>14.973617000000001</v>
      </c>
      <c r="AO2">
        <v>91392719</v>
      </c>
      <c r="AP2">
        <v>1.5344139999999999</v>
      </c>
      <c r="AR2">
        <v>103449599</v>
      </c>
      <c r="AS2">
        <v>0</v>
      </c>
      <c r="AU2">
        <v>109478240</v>
      </c>
      <c r="AV2">
        <v>2.698445</v>
      </c>
      <c r="AX2">
        <v>115506651</v>
      </c>
      <c r="AY2">
        <v>1.111078</v>
      </c>
      <c r="BA2">
        <v>121535158</v>
      </c>
      <c r="BB2">
        <v>0.317469</v>
      </c>
      <c r="BD2">
        <v>127563703</v>
      </c>
      <c r="BE2">
        <v>1.32277</v>
      </c>
      <c r="BG2">
        <v>133592153</v>
      </c>
      <c r="BH2">
        <v>2.7513269999999999</v>
      </c>
      <c r="BJ2">
        <v>139620715</v>
      </c>
      <c r="BK2">
        <v>0.89950600000000003</v>
      </c>
      <c r="BM2">
        <v>145649317</v>
      </c>
      <c r="BN2">
        <v>2.3280620000000001</v>
      </c>
    </row>
    <row r="3" spans="1:66" x14ac:dyDescent="0.35">
      <c r="A3">
        <v>2.0267E-2</v>
      </c>
      <c r="B3">
        <v>13043154</v>
      </c>
      <c r="C3">
        <v>0</v>
      </c>
      <c r="E3">
        <v>19071599</v>
      </c>
      <c r="F3">
        <v>0.31745400000000001</v>
      </c>
      <c r="H3">
        <v>25099762</v>
      </c>
      <c r="I3">
        <v>1.058206</v>
      </c>
      <c r="K3">
        <v>31128090</v>
      </c>
      <c r="L3">
        <v>1.216936</v>
      </c>
      <c r="N3">
        <v>37156459</v>
      </c>
      <c r="O3">
        <v>4.867756</v>
      </c>
      <c r="Q3">
        <v>43184806</v>
      </c>
      <c r="R3">
        <v>2.4867849999999998</v>
      </c>
      <c r="T3">
        <v>49213361</v>
      </c>
      <c r="U3">
        <v>2.698445</v>
      </c>
      <c r="W3">
        <v>55241945</v>
      </c>
      <c r="X3">
        <v>2.4867889999999999</v>
      </c>
      <c r="Z3">
        <v>61270434</v>
      </c>
      <c r="AA3">
        <v>4.0740970000000001</v>
      </c>
      <c r="AC3">
        <v>67298876</v>
      </c>
      <c r="AD3">
        <v>7.9365249999999996</v>
      </c>
      <c r="AF3">
        <v>73327334</v>
      </c>
      <c r="AG3">
        <v>3.9682979999999999</v>
      </c>
      <c r="AI3">
        <v>79355838</v>
      </c>
      <c r="AJ3">
        <v>3.545004</v>
      </c>
      <c r="AL3">
        <v>85384288</v>
      </c>
      <c r="AM3">
        <v>5.8730479999999998</v>
      </c>
      <c r="AO3">
        <v>91412874</v>
      </c>
      <c r="AP3">
        <v>5.4497840000000002</v>
      </c>
      <c r="AR3">
        <v>103469755</v>
      </c>
      <c r="AS3">
        <v>4.232812</v>
      </c>
      <c r="AU3">
        <v>109498395</v>
      </c>
      <c r="AV3">
        <v>7.5132849999999998</v>
      </c>
      <c r="AX3">
        <v>115526809</v>
      </c>
      <c r="AY3">
        <v>6.5608979999999999</v>
      </c>
      <c r="BA3">
        <v>121555320</v>
      </c>
      <c r="BB3">
        <v>2.433881</v>
      </c>
      <c r="BD3">
        <v>127583863</v>
      </c>
      <c r="BE3">
        <v>4.8148390000000001</v>
      </c>
      <c r="BG3">
        <v>133612316</v>
      </c>
      <c r="BH3">
        <v>7.8307390000000003</v>
      </c>
      <c r="BJ3">
        <v>139640874</v>
      </c>
      <c r="BK3">
        <v>7.3016639999999997</v>
      </c>
      <c r="BM3">
        <v>145669506</v>
      </c>
      <c r="BN3">
        <v>6.2434320000000003</v>
      </c>
    </row>
    <row r="4" spans="1:66" x14ac:dyDescent="0.35">
      <c r="A4">
        <v>4.0426999999999998E-2</v>
      </c>
      <c r="B4">
        <v>13063314</v>
      </c>
      <c r="C4">
        <v>1.7460580000000001</v>
      </c>
      <c r="E4">
        <v>19091750</v>
      </c>
      <c r="F4">
        <v>4.5502659999999997</v>
      </c>
      <c r="H4">
        <v>25119918</v>
      </c>
      <c r="I4">
        <v>1.42858</v>
      </c>
      <c r="K4">
        <v>31148241</v>
      </c>
      <c r="L4">
        <v>2.2222400000000002</v>
      </c>
      <c r="N4">
        <v>37176613</v>
      </c>
      <c r="O4">
        <v>3.5449950000000001</v>
      </c>
      <c r="Q4">
        <v>43204964</v>
      </c>
      <c r="R4">
        <v>3.9682789999999999</v>
      </c>
      <c r="T4">
        <v>49233525</v>
      </c>
      <c r="U4">
        <v>4.285717</v>
      </c>
      <c r="W4">
        <v>55262101</v>
      </c>
      <c r="X4">
        <v>4.6032010000000003</v>
      </c>
      <c r="Z4">
        <v>61290590</v>
      </c>
      <c r="AA4">
        <v>6.1376090000000003</v>
      </c>
      <c r="AC4">
        <v>67319031</v>
      </c>
      <c r="AD4">
        <v>6.4021350000000004</v>
      </c>
      <c r="AF4">
        <v>73347492</v>
      </c>
      <c r="AG4">
        <v>3.8095590000000001</v>
      </c>
      <c r="AI4">
        <v>79375993</v>
      </c>
      <c r="AJ4">
        <v>6.2434320000000003</v>
      </c>
      <c r="AL4">
        <v>85404449</v>
      </c>
      <c r="AM4">
        <v>8.201117</v>
      </c>
      <c r="AO4">
        <v>91433035</v>
      </c>
      <c r="AP4">
        <v>5.8201429999999998</v>
      </c>
      <c r="AR4">
        <v>103489949</v>
      </c>
      <c r="AS4">
        <v>8.095288</v>
      </c>
      <c r="AU4">
        <v>109518552</v>
      </c>
      <c r="AV4">
        <v>10.740805</v>
      </c>
      <c r="AX4">
        <v>115546980</v>
      </c>
      <c r="AY4">
        <v>9.7355370000000008</v>
      </c>
      <c r="BA4">
        <v>121575479</v>
      </c>
      <c r="BB4">
        <v>9.6825960000000002</v>
      </c>
      <c r="BD4">
        <v>127604027</v>
      </c>
      <c r="BE4">
        <v>9.2593189999999996</v>
      </c>
      <c r="BG4">
        <v>133632473</v>
      </c>
      <c r="BH4">
        <v>11.534476</v>
      </c>
      <c r="BJ4">
        <v>139661068</v>
      </c>
      <c r="BK4">
        <v>7.3016639999999997</v>
      </c>
      <c r="BM4">
        <v>145689661</v>
      </c>
      <c r="BN4">
        <v>10.899544000000001</v>
      </c>
    </row>
    <row r="5" spans="1:66" x14ac:dyDescent="0.35">
      <c r="A5">
        <v>6.0627E-2</v>
      </c>
      <c r="B5">
        <v>13083514</v>
      </c>
      <c r="C5">
        <v>1.7460580000000001</v>
      </c>
      <c r="E5">
        <v>19111919</v>
      </c>
      <c r="F5">
        <v>0.84657700000000002</v>
      </c>
      <c r="H5">
        <v>25140080</v>
      </c>
      <c r="I5">
        <v>1.9047689999999999</v>
      </c>
      <c r="K5">
        <v>31168410</v>
      </c>
      <c r="L5">
        <v>3.4920810000000002</v>
      </c>
      <c r="N5">
        <v>37196776</v>
      </c>
      <c r="O5">
        <v>4.4444679999999996</v>
      </c>
      <c r="Q5">
        <v>43225118</v>
      </c>
      <c r="R5">
        <v>5.0794069999999998</v>
      </c>
      <c r="T5">
        <v>49253680</v>
      </c>
      <c r="U5">
        <v>5.608511</v>
      </c>
      <c r="W5">
        <v>55282268</v>
      </c>
      <c r="X5">
        <v>6.5608919999999999</v>
      </c>
      <c r="Z5">
        <v>61310750</v>
      </c>
      <c r="AA5">
        <v>4.8677440000000001</v>
      </c>
      <c r="AC5">
        <v>67339187</v>
      </c>
      <c r="AD5">
        <v>7.8836199999999996</v>
      </c>
      <c r="AF5">
        <v>73367653</v>
      </c>
      <c r="AG5">
        <v>8.6243870000000005</v>
      </c>
      <c r="AI5">
        <v>79396176</v>
      </c>
      <c r="AJ5">
        <v>5.5026890000000002</v>
      </c>
      <c r="AL5">
        <v>85424633</v>
      </c>
      <c r="AM5">
        <v>10.317529</v>
      </c>
      <c r="AO5">
        <v>91453200</v>
      </c>
      <c r="AP5">
        <v>10.370433999999999</v>
      </c>
      <c r="AR5">
        <v>103510107</v>
      </c>
      <c r="AS5">
        <v>10.582113</v>
      </c>
      <c r="AU5">
        <v>109538720</v>
      </c>
      <c r="AV5">
        <v>12.116455999999999</v>
      </c>
      <c r="AX5">
        <v>115567147</v>
      </c>
      <c r="AY5">
        <v>9.7355370000000008</v>
      </c>
      <c r="BA5">
        <v>121595671</v>
      </c>
      <c r="BB5">
        <v>12.698494</v>
      </c>
      <c r="BD5">
        <v>127624184</v>
      </c>
      <c r="BE5">
        <v>12.010669999999999</v>
      </c>
      <c r="BG5">
        <v>133652641</v>
      </c>
      <c r="BH5">
        <v>12.645578</v>
      </c>
      <c r="BJ5">
        <v>139681230</v>
      </c>
      <c r="BK5">
        <v>13.492155</v>
      </c>
      <c r="BM5">
        <v>145709824</v>
      </c>
      <c r="BN5">
        <v>13.015962</v>
      </c>
    </row>
    <row r="6" spans="1:66" x14ac:dyDescent="0.35">
      <c r="A6">
        <v>8.0791000000000002E-2</v>
      </c>
      <c r="B6">
        <v>13103678</v>
      </c>
      <c r="C6">
        <v>1.7460580000000001</v>
      </c>
      <c r="E6">
        <v>19132077</v>
      </c>
      <c r="F6">
        <v>1.164031</v>
      </c>
      <c r="H6">
        <v>25160240</v>
      </c>
      <c r="I6">
        <v>2.4867849999999998</v>
      </c>
      <c r="K6">
        <v>31188566</v>
      </c>
      <c r="L6">
        <v>3.6508319999999999</v>
      </c>
      <c r="N6">
        <v>37216930</v>
      </c>
      <c r="O6">
        <v>5.0793980000000003</v>
      </c>
      <c r="Q6">
        <v>43245280</v>
      </c>
      <c r="R6">
        <v>8.5714760000000005</v>
      </c>
      <c r="T6">
        <v>49273864</v>
      </c>
      <c r="U6">
        <v>5.026484</v>
      </c>
      <c r="W6">
        <v>55302426</v>
      </c>
      <c r="X6">
        <v>9.3651450000000001</v>
      </c>
      <c r="Z6">
        <v>61330920</v>
      </c>
      <c r="AA6">
        <v>12.486863</v>
      </c>
      <c r="AC6">
        <v>67359374</v>
      </c>
      <c r="AD6">
        <v>9.7355129999999992</v>
      </c>
      <c r="AF6">
        <v>73387812</v>
      </c>
      <c r="AG6">
        <v>10.15879</v>
      </c>
      <c r="AI6">
        <v>79416335</v>
      </c>
      <c r="AJ6">
        <v>10.529184000000001</v>
      </c>
      <c r="AL6">
        <v>85444794</v>
      </c>
      <c r="AM6">
        <v>11.851919000000001</v>
      </c>
      <c r="AO6">
        <v>91473396</v>
      </c>
      <c r="AP6">
        <v>12.857246</v>
      </c>
      <c r="AR6">
        <v>103530265</v>
      </c>
      <c r="AS6">
        <v>12.222265999999999</v>
      </c>
      <c r="AU6">
        <v>109558885</v>
      </c>
      <c r="AV6">
        <v>13.280535</v>
      </c>
      <c r="AX6">
        <v>115587308</v>
      </c>
      <c r="AY6">
        <v>13.492149</v>
      </c>
      <c r="BA6">
        <v>121615856</v>
      </c>
      <c r="BB6">
        <v>14.762003999999999</v>
      </c>
      <c r="BD6">
        <v>127644339</v>
      </c>
      <c r="BE6">
        <v>15.185273</v>
      </c>
      <c r="BG6">
        <v>133672830</v>
      </c>
      <c r="BH6">
        <v>14.497471000000001</v>
      </c>
      <c r="BJ6">
        <v>139701380</v>
      </c>
      <c r="BK6">
        <v>14.920735000000001</v>
      </c>
      <c r="BM6">
        <v>145730014</v>
      </c>
      <c r="BN6">
        <v>17.354631000000001</v>
      </c>
    </row>
    <row r="7" spans="1:66" x14ac:dyDescent="0.35">
      <c r="A7">
        <v>0.100951</v>
      </c>
      <c r="B7">
        <v>13123838</v>
      </c>
      <c r="C7">
        <v>0</v>
      </c>
      <c r="E7">
        <v>19152230</v>
      </c>
      <c r="F7">
        <v>1.322746</v>
      </c>
      <c r="H7">
        <v>25180395</v>
      </c>
      <c r="I7">
        <v>3.8624610000000001</v>
      </c>
      <c r="K7">
        <v>31208755</v>
      </c>
      <c r="L7">
        <v>4.1799189999999999</v>
      </c>
      <c r="N7">
        <v>37237089</v>
      </c>
      <c r="O7">
        <v>9.7355090000000004</v>
      </c>
      <c r="Q7">
        <v>43265440</v>
      </c>
      <c r="R7">
        <v>3.8624580000000002</v>
      </c>
      <c r="T7">
        <v>49294025</v>
      </c>
      <c r="U7">
        <v>7.8836440000000003</v>
      </c>
      <c r="W7">
        <v>55322580</v>
      </c>
      <c r="X7">
        <v>8.8360339999999997</v>
      </c>
      <c r="Z7">
        <v>61351080</v>
      </c>
      <c r="AA7">
        <v>10.000062</v>
      </c>
      <c r="AC7">
        <v>67379540</v>
      </c>
      <c r="AD7">
        <v>14.97364</v>
      </c>
      <c r="AF7">
        <v>73407963</v>
      </c>
      <c r="AG7">
        <v>11.322844999999999</v>
      </c>
      <c r="AI7">
        <v>79436490</v>
      </c>
      <c r="AJ7">
        <v>11.640286</v>
      </c>
      <c r="AL7">
        <v>85464953</v>
      </c>
      <c r="AM7">
        <v>12.804306</v>
      </c>
      <c r="AO7">
        <v>91493581</v>
      </c>
      <c r="AP7">
        <v>12.857234999999999</v>
      </c>
      <c r="AR7">
        <v>103550438</v>
      </c>
      <c r="AS7">
        <v>11.957741</v>
      </c>
      <c r="AU7">
        <v>109579045</v>
      </c>
      <c r="AV7">
        <v>12.804316999999999</v>
      </c>
      <c r="AX7">
        <v>115607477</v>
      </c>
      <c r="AY7">
        <v>14.656180000000001</v>
      </c>
      <c r="BA7">
        <v>121636014</v>
      </c>
      <c r="BB7">
        <v>14.338715000000001</v>
      </c>
      <c r="BD7">
        <v>127664517</v>
      </c>
      <c r="BE7">
        <v>14.497446999999999</v>
      </c>
      <c r="BG7">
        <v>133692989</v>
      </c>
      <c r="BH7">
        <v>15.079451000000001</v>
      </c>
      <c r="BJ7">
        <v>139721548</v>
      </c>
      <c r="BK7">
        <v>15.396922</v>
      </c>
      <c r="BM7">
        <v>145750171</v>
      </c>
      <c r="BN7">
        <v>14.973653000000001</v>
      </c>
    </row>
    <row r="8" spans="1:66" x14ac:dyDescent="0.35">
      <c r="A8">
        <v>0.12112000000000001</v>
      </c>
      <c r="B8">
        <v>13144007</v>
      </c>
      <c r="C8">
        <v>0</v>
      </c>
      <c r="E8">
        <v>19172387</v>
      </c>
      <c r="H8">
        <v>25200558</v>
      </c>
      <c r="I8">
        <v>3.280446</v>
      </c>
      <c r="K8">
        <v>31228937</v>
      </c>
      <c r="L8">
        <v>4.9735779999999998</v>
      </c>
      <c r="N8">
        <v>37257250</v>
      </c>
      <c r="O8">
        <v>6.5608909999999998</v>
      </c>
      <c r="Q8">
        <v>43285597</v>
      </c>
      <c r="R8">
        <v>7.8307450000000003</v>
      </c>
      <c r="T8">
        <v>49314189</v>
      </c>
      <c r="U8">
        <v>5.9788699999999997</v>
      </c>
      <c r="W8">
        <v>55342748</v>
      </c>
      <c r="X8">
        <v>10.052978</v>
      </c>
      <c r="Z8">
        <v>61371268</v>
      </c>
      <c r="AA8">
        <v>10.370398</v>
      </c>
      <c r="AC8">
        <v>67399699</v>
      </c>
      <c r="AD8">
        <v>11.746097000000001</v>
      </c>
      <c r="AF8">
        <v>73428127</v>
      </c>
      <c r="AG8">
        <v>11.904836</v>
      </c>
      <c r="AI8">
        <v>79456643</v>
      </c>
      <c r="AJ8">
        <v>12.645591</v>
      </c>
      <c r="AL8">
        <v>85485111</v>
      </c>
      <c r="AM8">
        <v>13.492144</v>
      </c>
      <c r="AO8">
        <v>91513742</v>
      </c>
      <c r="AP8">
        <v>13.333392</v>
      </c>
      <c r="AR8">
        <v>103570593</v>
      </c>
      <c r="AS8">
        <v>13.915467</v>
      </c>
      <c r="AU8">
        <v>109599204</v>
      </c>
      <c r="AV8">
        <v>14.709091000000001</v>
      </c>
      <c r="AX8">
        <v>115627634</v>
      </c>
      <c r="AY8">
        <v>15.026548</v>
      </c>
      <c r="BA8">
        <v>121656177</v>
      </c>
      <c r="BB8">
        <v>14.762003</v>
      </c>
      <c r="BD8">
        <v>127684702</v>
      </c>
      <c r="BE8">
        <v>14.550352</v>
      </c>
      <c r="BG8">
        <v>133713154</v>
      </c>
      <c r="BH8">
        <v>15.238189999999999</v>
      </c>
      <c r="BJ8">
        <v>139741711</v>
      </c>
      <c r="BK8">
        <v>15.449837</v>
      </c>
      <c r="BM8">
        <v>145770338</v>
      </c>
      <c r="BN8">
        <v>13.545059999999999</v>
      </c>
    </row>
    <row r="9" spans="1:66" x14ac:dyDescent="0.35">
      <c r="A9">
        <v>0.14127600000000001</v>
      </c>
      <c r="B9">
        <v>13164163</v>
      </c>
      <c r="C9">
        <v>0</v>
      </c>
      <c r="E9">
        <v>19192542</v>
      </c>
      <c r="F9">
        <v>1.7460580000000001</v>
      </c>
      <c r="H9">
        <v>25220716</v>
      </c>
      <c r="I9">
        <v>3.5449920000000001</v>
      </c>
      <c r="K9">
        <v>31249128</v>
      </c>
      <c r="L9">
        <v>8.095288</v>
      </c>
      <c r="N9">
        <v>37277404</v>
      </c>
      <c r="O9">
        <v>7.6190959999999999</v>
      </c>
      <c r="Q9">
        <v>43305787</v>
      </c>
      <c r="R9">
        <v>8.5715000000000003</v>
      </c>
      <c r="T9">
        <v>49334346</v>
      </c>
      <c r="U9">
        <v>9.7883940000000003</v>
      </c>
      <c r="W9">
        <v>55362907</v>
      </c>
      <c r="X9">
        <v>10.634985</v>
      </c>
      <c r="Z9">
        <v>61391434</v>
      </c>
      <c r="AA9">
        <v>11.42869</v>
      </c>
      <c r="AC9">
        <v>67419858</v>
      </c>
      <c r="AD9">
        <v>12.275219</v>
      </c>
      <c r="AF9">
        <v>73448314</v>
      </c>
      <c r="AG9">
        <v>12.328099999999999</v>
      </c>
      <c r="AI9">
        <v>79476807</v>
      </c>
      <c r="AJ9">
        <v>13.121772</v>
      </c>
      <c r="AL9">
        <v>85505267</v>
      </c>
      <c r="AM9">
        <v>14.021277</v>
      </c>
      <c r="AO9">
        <v>91533904</v>
      </c>
      <c r="AP9">
        <v>13.862513999999999</v>
      </c>
      <c r="AR9">
        <v>103590789</v>
      </c>
      <c r="AS9">
        <v>14.444566</v>
      </c>
      <c r="AU9">
        <v>109619364</v>
      </c>
      <c r="AV9">
        <v>15.079451000000001</v>
      </c>
      <c r="AX9">
        <v>115647800</v>
      </c>
      <c r="AY9">
        <v>15.026548</v>
      </c>
      <c r="BA9">
        <v>121676341</v>
      </c>
      <c r="BB9">
        <v>15.079463000000001</v>
      </c>
      <c r="BD9">
        <v>127704864</v>
      </c>
      <c r="BE9">
        <v>15.291095</v>
      </c>
      <c r="BG9">
        <v>133733314</v>
      </c>
      <c r="BH9">
        <v>15.555619999999999</v>
      </c>
      <c r="BJ9">
        <v>139761879</v>
      </c>
      <c r="BK9">
        <v>15.661478000000001</v>
      </c>
      <c r="BM9">
        <v>145790502</v>
      </c>
      <c r="BN9">
        <v>15.873122</v>
      </c>
    </row>
    <row r="10" spans="1:66" x14ac:dyDescent="0.35">
      <c r="A10">
        <v>0.16142999999999999</v>
      </c>
      <c r="B10">
        <v>13184317</v>
      </c>
      <c r="C10">
        <v>0</v>
      </c>
      <c r="E10">
        <v>19212697</v>
      </c>
      <c r="F10">
        <v>1.693106</v>
      </c>
      <c r="H10">
        <v>25240865</v>
      </c>
      <c r="I10">
        <v>3.9682780000000002</v>
      </c>
      <c r="K10">
        <v>31269308</v>
      </c>
      <c r="L10">
        <v>3.9153579999999999</v>
      </c>
      <c r="N10">
        <v>37297558</v>
      </c>
      <c r="O10">
        <v>7.7778270000000003</v>
      </c>
      <c r="Q10">
        <v>43325947</v>
      </c>
      <c r="R10">
        <v>9.9471570000000007</v>
      </c>
      <c r="T10">
        <v>49354512</v>
      </c>
      <c r="U10">
        <v>9.8413470000000007</v>
      </c>
      <c r="W10">
        <v>55383065</v>
      </c>
      <c r="X10">
        <v>12.592676000000001</v>
      </c>
      <c r="Z10">
        <v>61411596</v>
      </c>
      <c r="AA10">
        <v>12.539768</v>
      </c>
      <c r="AC10">
        <v>67440019</v>
      </c>
      <c r="AD10">
        <v>10.529159999999999</v>
      </c>
      <c r="AF10">
        <v>73468471</v>
      </c>
      <c r="AG10">
        <v>14.550328</v>
      </c>
      <c r="AI10">
        <v>79496972</v>
      </c>
      <c r="AJ10">
        <v>13.33344</v>
      </c>
      <c r="AL10">
        <v>85525435</v>
      </c>
      <c r="AM10">
        <v>14.232874000000001</v>
      </c>
      <c r="AO10">
        <v>91554062</v>
      </c>
      <c r="AP10">
        <v>17.672062</v>
      </c>
      <c r="AR10">
        <v>103610956</v>
      </c>
      <c r="AS10">
        <v>14.867806</v>
      </c>
      <c r="AU10">
        <v>109639556</v>
      </c>
      <c r="AV10">
        <v>15.079451000000001</v>
      </c>
      <c r="AX10">
        <v>115667964</v>
      </c>
      <c r="AY10">
        <v>14.074168999999999</v>
      </c>
      <c r="BA10">
        <v>121696504</v>
      </c>
      <c r="BB10">
        <v>15.873122</v>
      </c>
      <c r="BD10">
        <v>127725021</v>
      </c>
      <c r="BE10">
        <v>15.608597</v>
      </c>
      <c r="BG10">
        <v>133753474</v>
      </c>
      <c r="BH10">
        <v>13.915443</v>
      </c>
      <c r="BJ10">
        <v>139782064</v>
      </c>
      <c r="BK10">
        <v>15.449828</v>
      </c>
      <c r="BM10">
        <v>145810654</v>
      </c>
      <c r="BN10">
        <v>15.873122</v>
      </c>
    </row>
    <row r="11" spans="1:66" x14ac:dyDescent="0.35">
      <c r="A11">
        <v>0.181587</v>
      </c>
      <c r="B11">
        <v>13204474</v>
      </c>
      <c r="C11">
        <v>0</v>
      </c>
      <c r="E11">
        <v>19232862</v>
      </c>
      <c r="F11">
        <v>1.9576789999999999</v>
      </c>
      <c r="H11">
        <v>25261030</v>
      </c>
      <c r="K11">
        <v>31289503</v>
      </c>
      <c r="L11">
        <v>6.4550640000000001</v>
      </c>
      <c r="N11">
        <v>37317714</v>
      </c>
      <c r="O11">
        <v>12.222305</v>
      </c>
      <c r="Q11">
        <v>43346104</v>
      </c>
      <c r="R11">
        <v>9.5238689999999995</v>
      </c>
      <c r="T11">
        <v>49374667</v>
      </c>
      <c r="U11">
        <v>10.529184000000001</v>
      </c>
      <c r="W11">
        <v>55403229</v>
      </c>
      <c r="X11">
        <v>11.428654999999999</v>
      </c>
      <c r="Z11">
        <v>61431756</v>
      </c>
      <c r="AA11">
        <v>12.275219</v>
      </c>
      <c r="AC11">
        <v>67460177</v>
      </c>
      <c r="AD11">
        <v>17.142963000000002</v>
      </c>
      <c r="AF11">
        <v>73488662</v>
      </c>
      <c r="AG11">
        <v>11.428642</v>
      </c>
      <c r="AI11">
        <v>79517128</v>
      </c>
      <c r="AJ11">
        <v>13.915443</v>
      </c>
      <c r="AL11">
        <v>85545591</v>
      </c>
      <c r="AM11">
        <v>12.222314000000001</v>
      </c>
      <c r="AO11">
        <v>91574232</v>
      </c>
      <c r="AP11">
        <v>14.920735000000001</v>
      </c>
      <c r="AR11">
        <v>103631116</v>
      </c>
      <c r="AS11">
        <v>14.444542</v>
      </c>
      <c r="AU11">
        <v>109659724</v>
      </c>
      <c r="AV11">
        <v>15.502746</v>
      </c>
      <c r="AX11">
        <v>115688150</v>
      </c>
      <c r="AY11">
        <v>15.026540000000001</v>
      </c>
      <c r="BA11">
        <v>121716667</v>
      </c>
      <c r="BB11">
        <v>15.608573</v>
      </c>
      <c r="BD11">
        <v>127745181</v>
      </c>
      <c r="BE11">
        <v>15.873122</v>
      </c>
      <c r="BG11">
        <v>133773647</v>
      </c>
      <c r="BH11">
        <v>13.915443</v>
      </c>
      <c r="BJ11">
        <v>139802245</v>
      </c>
      <c r="BK11">
        <v>16.825516</v>
      </c>
      <c r="BM11">
        <v>145830811</v>
      </c>
      <c r="BN11">
        <v>15.978932</v>
      </c>
    </row>
    <row r="12" spans="1:66" x14ac:dyDescent="0.35">
      <c r="A12">
        <v>0.20177600000000001</v>
      </c>
      <c r="B12">
        <v>13224663</v>
      </c>
      <c r="C12">
        <v>0</v>
      </c>
      <c r="E12">
        <v>19253024</v>
      </c>
      <c r="H12">
        <v>25281184</v>
      </c>
      <c r="I12">
        <v>3.597906</v>
      </c>
      <c r="K12">
        <v>31309655</v>
      </c>
      <c r="L12">
        <v>6.7196249999999997</v>
      </c>
      <c r="N12">
        <v>37337869</v>
      </c>
      <c r="O12">
        <v>7.1429080000000003</v>
      </c>
      <c r="Q12">
        <v>43366289</v>
      </c>
      <c r="R12">
        <v>9.6826080000000001</v>
      </c>
      <c r="T12">
        <v>49394823</v>
      </c>
      <c r="U12">
        <v>11.058282999999999</v>
      </c>
      <c r="W12">
        <v>55423391</v>
      </c>
      <c r="X12">
        <v>12.010676</v>
      </c>
      <c r="Z12">
        <v>61451952</v>
      </c>
      <c r="AA12">
        <v>11.58672</v>
      </c>
      <c r="AC12">
        <v>67480331</v>
      </c>
      <c r="AD12">
        <v>13.598013</v>
      </c>
      <c r="AF12">
        <v>73508818</v>
      </c>
      <c r="AG12">
        <v>14.179969</v>
      </c>
      <c r="AI12">
        <v>79537297</v>
      </c>
      <c r="AJ12">
        <v>13.809585999999999</v>
      </c>
      <c r="AL12">
        <v>85565747</v>
      </c>
      <c r="AM12">
        <v>14.814878</v>
      </c>
      <c r="AO12">
        <v>91594389</v>
      </c>
      <c r="AP12">
        <v>14.973617000000001</v>
      </c>
      <c r="AR12">
        <v>103651308</v>
      </c>
      <c r="AS12">
        <v>17.195892000000001</v>
      </c>
      <c r="AU12">
        <v>109679880</v>
      </c>
      <c r="AV12">
        <v>14.867819000000001</v>
      </c>
      <c r="AX12">
        <v>115708309</v>
      </c>
      <c r="AY12">
        <v>15.396922999999999</v>
      </c>
      <c r="BA12">
        <v>121736822</v>
      </c>
      <c r="BB12">
        <v>15.608549</v>
      </c>
      <c r="BD12">
        <v>127765344</v>
      </c>
      <c r="BE12">
        <v>15.714359</v>
      </c>
      <c r="BG12">
        <v>133793810</v>
      </c>
      <c r="BH12">
        <v>16.031842999999999</v>
      </c>
      <c r="BJ12">
        <v>139822406</v>
      </c>
      <c r="BK12">
        <v>15.767301</v>
      </c>
      <c r="BM12">
        <v>145850974</v>
      </c>
      <c r="BN12">
        <v>15.873122</v>
      </c>
    </row>
    <row r="13" spans="1:66" x14ac:dyDescent="0.35">
      <c r="A13">
        <v>0.22192999999999999</v>
      </c>
      <c r="B13">
        <v>13244817</v>
      </c>
      <c r="C13">
        <v>0</v>
      </c>
      <c r="E13">
        <v>19273176</v>
      </c>
      <c r="F13">
        <v>2.1693229999999999</v>
      </c>
      <c r="H13">
        <v>25301343</v>
      </c>
      <c r="I13">
        <v>4.6561120000000003</v>
      </c>
      <c r="K13">
        <v>31329807</v>
      </c>
      <c r="L13">
        <v>7.0899960000000002</v>
      </c>
      <c r="N13">
        <v>37358030</v>
      </c>
      <c r="O13">
        <v>8.888954</v>
      </c>
      <c r="Q13">
        <v>43386446</v>
      </c>
      <c r="R13">
        <v>10.2646</v>
      </c>
      <c r="T13">
        <v>49414982</v>
      </c>
      <c r="U13">
        <v>11.428666</v>
      </c>
      <c r="W13">
        <v>55443548</v>
      </c>
      <c r="X13">
        <v>12.169397</v>
      </c>
      <c r="Z13">
        <v>61472114</v>
      </c>
      <c r="AA13">
        <v>13.386333</v>
      </c>
      <c r="AC13">
        <v>67500492</v>
      </c>
      <c r="AD13">
        <v>13.545036</v>
      </c>
      <c r="AF13">
        <v>73528974</v>
      </c>
      <c r="AG13">
        <v>11.904836</v>
      </c>
      <c r="AI13">
        <v>79557457</v>
      </c>
      <c r="AJ13">
        <v>14.550328</v>
      </c>
      <c r="AL13">
        <v>85585904</v>
      </c>
      <c r="AM13">
        <v>14.709066999999999</v>
      </c>
      <c r="AO13">
        <v>91614548</v>
      </c>
      <c r="AP13">
        <v>14.074159</v>
      </c>
      <c r="AR13">
        <v>103671499</v>
      </c>
      <c r="AS13">
        <v>15.238189999999999</v>
      </c>
      <c r="AU13">
        <v>109700039</v>
      </c>
      <c r="AV13">
        <v>15.502749</v>
      </c>
      <c r="AX13">
        <v>115728494</v>
      </c>
      <c r="AY13">
        <v>15.502751</v>
      </c>
      <c r="BA13">
        <v>121756974</v>
      </c>
      <c r="BB13">
        <v>15.449833999999999</v>
      </c>
      <c r="BD13">
        <v>127785504</v>
      </c>
      <c r="BE13">
        <v>15.714383</v>
      </c>
      <c r="BG13">
        <v>133813971</v>
      </c>
      <c r="BH13">
        <v>15.978942</v>
      </c>
      <c r="BJ13">
        <v>139842572</v>
      </c>
      <c r="BK13">
        <v>13.545059999999999</v>
      </c>
      <c r="BM13">
        <v>145871138</v>
      </c>
      <c r="BN13">
        <v>14.285826999999999</v>
      </c>
    </row>
    <row r="14" spans="1:66" x14ac:dyDescent="0.35">
      <c r="A14">
        <v>0.24209600000000001</v>
      </c>
      <c r="B14">
        <v>13264983</v>
      </c>
      <c r="C14">
        <v>0</v>
      </c>
      <c r="E14">
        <v>19293339</v>
      </c>
      <c r="F14">
        <v>2.3280620000000001</v>
      </c>
      <c r="H14">
        <v>25321513</v>
      </c>
      <c r="I14">
        <v>5.0264949999999997</v>
      </c>
      <c r="K14">
        <v>31349966</v>
      </c>
      <c r="L14">
        <v>7.2487120000000003</v>
      </c>
      <c r="N14">
        <v>37378185</v>
      </c>
      <c r="O14">
        <v>9.4180530000000005</v>
      </c>
      <c r="Q14">
        <v>43406630</v>
      </c>
      <c r="R14">
        <v>10.899532000000001</v>
      </c>
      <c r="T14">
        <v>49435141</v>
      </c>
      <c r="U14">
        <v>11.693192</v>
      </c>
      <c r="W14">
        <v>55463710</v>
      </c>
      <c r="X14">
        <v>13.968349</v>
      </c>
      <c r="Z14">
        <v>61492276</v>
      </c>
      <c r="AA14">
        <v>13.333425999999999</v>
      </c>
      <c r="AC14">
        <v>67520650</v>
      </c>
      <c r="AD14">
        <v>13.915490999999999</v>
      </c>
      <c r="AF14">
        <v>73549139</v>
      </c>
      <c r="AG14">
        <v>17.619157999999999</v>
      </c>
      <c r="AI14">
        <v>79577611</v>
      </c>
      <c r="AJ14">
        <v>14.391613</v>
      </c>
      <c r="AL14">
        <v>85606062</v>
      </c>
      <c r="AM14">
        <v>14.920735000000001</v>
      </c>
      <c r="AO14">
        <v>91634746</v>
      </c>
      <c r="AP14">
        <v>17.672062</v>
      </c>
      <c r="AR14">
        <v>103691665</v>
      </c>
      <c r="AS14">
        <v>7.5126109999999997</v>
      </c>
      <c r="AU14">
        <v>109720194</v>
      </c>
      <c r="AV14">
        <v>15.820209999999999</v>
      </c>
      <c r="AX14">
        <v>115748652</v>
      </c>
      <c r="AY14">
        <v>15.449846000000001</v>
      </c>
      <c r="BA14">
        <v>121777144</v>
      </c>
      <c r="BB14">
        <v>15.978956</v>
      </c>
      <c r="BD14">
        <v>127805664</v>
      </c>
      <c r="BE14">
        <v>15.449858000000001</v>
      </c>
      <c r="BG14">
        <v>133834124</v>
      </c>
      <c r="BH14">
        <v>15.873113999999999</v>
      </c>
      <c r="BJ14">
        <v>139862732</v>
      </c>
      <c r="BK14">
        <v>15.926016000000001</v>
      </c>
      <c r="BM14">
        <v>145891322</v>
      </c>
      <c r="BN14">
        <v>16.7197</v>
      </c>
    </row>
    <row r="15" spans="1:66" x14ac:dyDescent="0.35">
      <c r="A15">
        <v>0.26224799999999998</v>
      </c>
      <c r="B15">
        <v>13285135</v>
      </c>
      <c r="C15">
        <v>0</v>
      </c>
      <c r="E15">
        <v>19313497</v>
      </c>
      <c r="F15">
        <v>1.269841</v>
      </c>
      <c r="H15">
        <v>25341668</v>
      </c>
      <c r="K15">
        <v>31370123</v>
      </c>
      <c r="L15">
        <v>4.9735550000000002</v>
      </c>
      <c r="N15">
        <v>37398363</v>
      </c>
      <c r="O15">
        <v>12.910128</v>
      </c>
      <c r="Q15">
        <v>43426803</v>
      </c>
      <c r="R15">
        <v>11.111188</v>
      </c>
      <c r="T15">
        <v>49455303</v>
      </c>
      <c r="U15">
        <v>12.063551</v>
      </c>
      <c r="W15">
        <v>55483893</v>
      </c>
      <c r="X15">
        <v>12.804316999999999</v>
      </c>
      <c r="Z15">
        <v>61512441</v>
      </c>
      <c r="AA15">
        <v>13.43924</v>
      </c>
      <c r="AC15">
        <v>67540809</v>
      </c>
      <c r="AD15">
        <v>16.296386999999999</v>
      </c>
      <c r="AF15">
        <v>73569305</v>
      </c>
      <c r="AG15">
        <v>14.444494000000001</v>
      </c>
      <c r="AI15">
        <v>79597774</v>
      </c>
      <c r="AJ15">
        <v>14.65621</v>
      </c>
      <c r="AL15">
        <v>85626217</v>
      </c>
      <c r="AM15">
        <v>14.97364</v>
      </c>
      <c r="AO15">
        <v>91654907</v>
      </c>
      <c r="AP15">
        <v>14.656162</v>
      </c>
      <c r="AR15">
        <v>103711827</v>
      </c>
      <c r="AS15">
        <v>15.820217</v>
      </c>
      <c r="AU15">
        <v>109740351</v>
      </c>
      <c r="AV15">
        <v>15.555671</v>
      </c>
      <c r="AX15">
        <v>115768817</v>
      </c>
      <c r="AY15">
        <v>15.767301</v>
      </c>
      <c r="BA15">
        <v>121797304</v>
      </c>
      <c r="BB15">
        <v>15.767312</v>
      </c>
      <c r="BD15">
        <v>127825822</v>
      </c>
      <c r="BE15">
        <v>15.873146</v>
      </c>
      <c r="BG15">
        <v>133854281</v>
      </c>
      <c r="BH15">
        <v>16.296399999999998</v>
      </c>
      <c r="BJ15">
        <v>139882904</v>
      </c>
      <c r="BK15">
        <v>16.984248999999998</v>
      </c>
      <c r="BM15">
        <v>145911501</v>
      </c>
      <c r="BN15">
        <v>15.291119</v>
      </c>
    </row>
    <row r="16" spans="1:66" x14ac:dyDescent="0.35">
      <c r="A16">
        <v>0.28240199999999999</v>
      </c>
      <c r="B16">
        <v>13305289</v>
      </c>
      <c r="C16">
        <v>0</v>
      </c>
      <c r="E16">
        <v>19333647</v>
      </c>
      <c r="F16">
        <v>2.5396589999999999</v>
      </c>
      <c r="H16">
        <v>25361822</v>
      </c>
      <c r="I16">
        <v>3.4391759999999998</v>
      </c>
      <c r="K16">
        <v>31390278</v>
      </c>
      <c r="L16">
        <v>8.1481929999999991</v>
      </c>
      <c r="N16">
        <v>37418520</v>
      </c>
      <c r="O16">
        <v>9.7355250000000009</v>
      </c>
      <c r="Q16">
        <v>43446960</v>
      </c>
      <c r="R16">
        <v>11.058282999999999</v>
      </c>
      <c r="T16">
        <v>49475469</v>
      </c>
      <c r="U16">
        <v>12.433958000000001</v>
      </c>
      <c r="W16">
        <v>55504055</v>
      </c>
      <c r="X16">
        <v>10.634995</v>
      </c>
      <c r="Z16">
        <v>61532596</v>
      </c>
      <c r="AA16">
        <v>13.915430000000001</v>
      </c>
      <c r="AC16">
        <v>67561002</v>
      </c>
      <c r="AD16">
        <v>16.296386999999999</v>
      </c>
      <c r="AF16">
        <v>73589459</v>
      </c>
      <c r="AG16">
        <v>14.550304000000001</v>
      </c>
      <c r="AI16">
        <v>79617926</v>
      </c>
      <c r="AJ16">
        <v>14.444566</v>
      </c>
      <c r="AL16">
        <v>85646383</v>
      </c>
      <c r="AM16">
        <v>13.015938</v>
      </c>
      <c r="AO16">
        <v>91675063</v>
      </c>
      <c r="AP16">
        <v>14.761972</v>
      </c>
      <c r="AR16">
        <v>103731982</v>
      </c>
      <c r="AS16">
        <v>15.820217</v>
      </c>
      <c r="AU16">
        <v>109760521</v>
      </c>
      <c r="AV16">
        <v>15.291095</v>
      </c>
      <c r="AX16">
        <v>115788979</v>
      </c>
      <c r="AY16">
        <v>15.608549</v>
      </c>
      <c r="BA16">
        <v>121817464</v>
      </c>
      <c r="BB16">
        <v>15.449833999999999</v>
      </c>
      <c r="BD16">
        <v>127845983</v>
      </c>
      <c r="BE16">
        <v>15.926075000000001</v>
      </c>
      <c r="BG16">
        <v>133874447</v>
      </c>
      <c r="BH16">
        <v>15.978939</v>
      </c>
      <c r="BJ16">
        <v>139903091</v>
      </c>
      <c r="BK16">
        <v>16.243504999999999</v>
      </c>
      <c r="BM16">
        <v>145931665</v>
      </c>
      <c r="BN16">
        <v>16.137695000000001</v>
      </c>
    </row>
    <row r="17" spans="1:66" x14ac:dyDescent="0.35">
      <c r="A17">
        <v>0.30255700000000002</v>
      </c>
      <c r="B17">
        <v>13325444</v>
      </c>
      <c r="C17">
        <v>0</v>
      </c>
      <c r="E17">
        <v>19353814</v>
      </c>
      <c r="F17">
        <v>2.4868009999999998</v>
      </c>
      <c r="H17">
        <v>25381984</v>
      </c>
      <c r="I17">
        <v>5.7143329999999999</v>
      </c>
      <c r="K17">
        <v>31410473</v>
      </c>
      <c r="L17">
        <v>7.9894780000000001</v>
      </c>
      <c r="N17">
        <v>37438674</v>
      </c>
      <c r="O17">
        <v>9.9471450000000008</v>
      </c>
      <c r="Q17">
        <v>43467122</v>
      </c>
      <c r="R17">
        <v>11.322832</v>
      </c>
      <c r="T17">
        <v>49495659</v>
      </c>
      <c r="U17">
        <v>10.634995</v>
      </c>
      <c r="W17">
        <v>55524231</v>
      </c>
      <c r="X17">
        <v>13.280511000000001</v>
      </c>
      <c r="Z17">
        <v>61552758</v>
      </c>
      <c r="AA17">
        <v>13.809607</v>
      </c>
      <c r="AC17">
        <v>67581164</v>
      </c>
      <c r="AD17">
        <v>14.550359</v>
      </c>
      <c r="AF17">
        <v>73609621</v>
      </c>
      <c r="AG17">
        <v>14.391613</v>
      </c>
      <c r="AI17">
        <v>79638084</v>
      </c>
      <c r="AJ17">
        <v>14.65621</v>
      </c>
      <c r="AL17">
        <v>85666537</v>
      </c>
      <c r="AM17">
        <v>15.079451000000001</v>
      </c>
      <c r="AO17">
        <v>91695234</v>
      </c>
      <c r="AP17">
        <v>14.761972</v>
      </c>
      <c r="AR17">
        <v>103752144</v>
      </c>
      <c r="AS17">
        <v>15.767306</v>
      </c>
      <c r="AU17">
        <v>109780709</v>
      </c>
      <c r="AV17">
        <v>11.058271</v>
      </c>
      <c r="AX17">
        <v>115809130</v>
      </c>
      <c r="AY17">
        <v>15.132403</v>
      </c>
      <c r="BA17">
        <v>121837619</v>
      </c>
      <c r="BB17">
        <v>15.555668000000001</v>
      </c>
      <c r="BD17">
        <v>127866145</v>
      </c>
      <c r="BE17">
        <v>15.926075000000001</v>
      </c>
      <c r="BG17">
        <v>133894607</v>
      </c>
      <c r="BH17">
        <v>15.92604</v>
      </c>
      <c r="BJ17">
        <v>139923247</v>
      </c>
      <c r="BK17">
        <v>16.190601000000001</v>
      </c>
      <c r="BM17">
        <v>145951825</v>
      </c>
      <c r="BN17">
        <v>16.137695000000001</v>
      </c>
    </row>
    <row r="18" spans="1:66" x14ac:dyDescent="0.35">
      <c r="A18">
        <v>0.32271699999999998</v>
      </c>
      <c r="B18">
        <v>13345604</v>
      </c>
      <c r="C18">
        <v>0</v>
      </c>
      <c r="E18">
        <v>19373967</v>
      </c>
      <c r="F18">
        <v>2.4868250000000001</v>
      </c>
      <c r="H18">
        <v>25402140</v>
      </c>
      <c r="I18">
        <v>5.714321</v>
      </c>
      <c r="K18">
        <v>31430630</v>
      </c>
      <c r="L18">
        <v>8.4127430000000007</v>
      </c>
      <c r="N18">
        <v>37458832</v>
      </c>
      <c r="O18">
        <v>10.211695000000001</v>
      </c>
      <c r="Q18">
        <v>43487282</v>
      </c>
      <c r="R18">
        <v>11.693192</v>
      </c>
      <c r="T18">
        <v>49515817</v>
      </c>
      <c r="U18">
        <v>10.634995</v>
      </c>
      <c r="W18">
        <v>55544393</v>
      </c>
      <c r="X18">
        <v>17.090033999999999</v>
      </c>
      <c r="Z18">
        <v>61572928</v>
      </c>
      <c r="AA18">
        <v>13.703799</v>
      </c>
      <c r="AC18">
        <v>67601346</v>
      </c>
      <c r="AD18">
        <v>14.232892</v>
      </c>
      <c r="AF18">
        <v>73629788</v>
      </c>
      <c r="AG18">
        <v>14.391613</v>
      </c>
      <c r="AI18">
        <v>79658246</v>
      </c>
      <c r="AJ18">
        <v>14.603281000000001</v>
      </c>
      <c r="AL18">
        <v>85686691</v>
      </c>
      <c r="AM18">
        <v>14.86783</v>
      </c>
      <c r="AO18">
        <v>91715395</v>
      </c>
      <c r="AP18">
        <v>16.084761</v>
      </c>
      <c r="AR18">
        <v>103772305</v>
      </c>
      <c r="AS18">
        <v>15.555662</v>
      </c>
      <c r="AU18">
        <v>109800866</v>
      </c>
      <c r="AV18">
        <v>15.449821999999999</v>
      </c>
      <c r="AX18">
        <v>115829293</v>
      </c>
      <c r="AY18">
        <v>15.820193</v>
      </c>
      <c r="BA18">
        <v>121857806</v>
      </c>
      <c r="BB18">
        <v>18.148256</v>
      </c>
      <c r="BD18">
        <v>127886316</v>
      </c>
      <c r="BE18">
        <v>14.497446999999999</v>
      </c>
      <c r="BG18">
        <v>133914757</v>
      </c>
      <c r="BH18">
        <v>15.714396000000001</v>
      </c>
      <c r="BJ18">
        <v>139943408</v>
      </c>
      <c r="BK18">
        <v>15.185261000000001</v>
      </c>
      <c r="BM18">
        <v>145971994</v>
      </c>
      <c r="BN18">
        <v>15.502751</v>
      </c>
    </row>
    <row r="19" spans="1:66" x14ac:dyDescent="0.35">
      <c r="A19">
        <v>0.34287099999999998</v>
      </c>
      <c r="B19">
        <v>13365758</v>
      </c>
      <c r="C19">
        <v>5.2905000000000001E-2</v>
      </c>
      <c r="E19">
        <v>19394137</v>
      </c>
      <c r="F19">
        <v>2.4868250000000001</v>
      </c>
      <c r="H19">
        <v>25422293</v>
      </c>
      <c r="I19">
        <v>9.5238689999999995</v>
      </c>
      <c r="K19">
        <v>31450790</v>
      </c>
      <c r="L19">
        <v>8.5714819999999996</v>
      </c>
      <c r="N19">
        <v>37479025</v>
      </c>
      <c r="O19">
        <v>12.804316999999999</v>
      </c>
      <c r="Q19">
        <v>43507435</v>
      </c>
      <c r="R19">
        <v>11.746143999999999</v>
      </c>
      <c r="T19">
        <v>49535980</v>
      </c>
      <c r="U19">
        <v>13.015955999999999</v>
      </c>
      <c r="W19">
        <v>55564577</v>
      </c>
      <c r="X19">
        <v>13.492155</v>
      </c>
      <c r="Z19">
        <v>61593087</v>
      </c>
      <c r="AA19">
        <v>11.534465000000001</v>
      </c>
      <c r="AC19">
        <v>67621523</v>
      </c>
      <c r="AD19">
        <v>16.772589</v>
      </c>
      <c r="AF19">
        <v>73649943</v>
      </c>
      <c r="AG19">
        <v>14.497453999999999</v>
      </c>
      <c r="AI19">
        <v>79678402</v>
      </c>
      <c r="AJ19">
        <v>14.76202</v>
      </c>
      <c r="AL19">
        <v>85706854</v>
      </c>
      <c r="AM19">
        <v>14.86783</v>
      </c>
      <c r="AO19">
        <v>91735548</v>
      </c>
      <c r="AP19">
        <v>15.502746</v>
      </c>
      <c r="AR19">
        <v>103792466</v>
      </c>
      <c r="AS19">
        <v>15.238196</v>
      </c>
      <c r="AU19">
        <v>109821025</v>
      </c>
      <c r="AV19">
        <v>15.714383</v>
      </c>
      <c r="AX19">
        <v>115849460</v>
      </c>
      <c r="AY19">
        <v>15.820193</v>
      </c>
      <c r="BA19">
        <v>121877975</v>
      </c>
      <c r="BB19">
        <v>15.502739</v>
      </c>
      <c r="BD19">
        <v>127906473</v>
      </c>
      <c r="BE19">
        <v>16.190586</v>
      </c>
      <c r="BG19">
        <v>133934918</v>
      </c>
      <c r="BH19">
        <v>15.92604</v>
      </c>
      <c r="BJ19">
        <v>139963573</v>
      </c>
      <c r="BK19">
        <v>18.730284000000001</v>
      </c>
      <c r="BM19">
        <v>145992164</v>
      </c>
      <c r="BN19">
        <v>16.402221999999998</v>
      </c>
    </row>
    <row r="20" spans="1:66" x14ac:dyDescent="0.35">
      <c r="A20">
        <v>0.36307299999999998</v>
      </c>
      <c r="B20">
        <v>13385960</v>
      </c>
      <c r="C20">
        <v>5.2905000000000001E-2</v>
      </c>
      <c r="E20">
        <v>19414291</v>
      </c>
      <c r="F20">
        <v>2.8042319999999998</v>
      </c>
      <c r="H20">
        <v>25442459</v>
      </c>
      <c r="I20">
        <v>6.1376090000000003</v>
      </c>
      <c r="K20">
        <v>31470946</v>
      </c>
      <c r="L20">
        <v>8.4127430000000007</v>
      </c>
      <c r="N20">
        <v>37499180</v>
      </c>
      <c r="O20">
        <v>10.687851999999999</v>
      </c>
      <c r="Q20">
        <v>43527591</v>
      </c>
      <c r="R20">
        <v>11.640286</v>
      </c>
      <c r="T20">
        <v>49556135</v>
      </c>
      <c r="U20">
        <v>13.121784</v>
      </c>
      <c r="W20">
        <v>55584766</v>
      </c>
      <c r="X20">
        <v>13.545083999999999</v>
      </c>
      <c r="Z20">
        <v>61613249</v>
      </c>
      <c r="AA20">
        <v>14.021254000000001</v>
      </c>
      <c r="AC20">
        <v>67641670</v>
      </c>
      <c r="AD20">
        <v>14.762006</v>
      </c>
      <c r="AF20">
        <v>73670134</v>
      </c>
      <c r="AG20">
        <v>14.762003</v>
      </c>
      <c r="AI20">
        <v>79698594</v>
      </c>
      <c r="AJ20">
        <v>14.76202</v>
      </c>
      <c r="AL20">
        <v>85727018</v>
      </c>
      <c r="AM20">
        <v>15.185285</v>
      </c>
      <c r="AO20">
        <v>91755743</v>
      </c>
      <c r="AP20">
        <v>15.34402</v>
      </c>
      <c r="AR20">
        <v>103812623</v>
      </c>
      <c r="AS20">
        <v>15.238196</v>
      </c>
      <c r="AU20">
        <v>109841183</v>
      </c>
      <c r="AV20">
        <v>15.449858000000001</v>
      </c>
      <c r="AX20">
        <v>115869620</v>
      </c>
      <c r="AY20">
        <v>15.502739</v>
      </c>
      <c r="BA20">
        <v>121898130</v>
      </c>
      <c r="BB20">
        <v>15.555668000000001</v>
      </c>
      <c r="BD20">
        <v>127926628</v>
      </c>
      <c r="BE20">
        <v>15.978951</v>
      </c>
      <c r="BG20">
        <v>133955073</v>
      </c>
      <c r="BH20">
        <v>15.873111</v>
      </c>
      <c r="BJ20">
        <v>139983740</v>
      </c>
      <c r="BK20">
        <v>15.873122</v>
      </c>
      <c r="BM20">
        <v>146012347</v>
      </c>
      <c r="BN20">
        <v>15.926026999999999</v>
      </c>
    </row>
    <row r="21" spans="1:66" x14ac:dyDescent="0.35">
      <c r="A21">
        <v>0.38326300000000002</v>
      </c>
      <c r="B21">
        <v>13406150</v>
      </c>
      <c r="C21">
        <v>5.2905000000000001E-2</v>
      </c>
      <c r="E21">
        <v>19434450</v>
      </c>
      <c r="F21">
        <v>2.9100890000000001</v>
      </c>
      <c r="H21">
        <v>25462612</v>
      </c>
      <c r="I21">
        <v>6.2963370000000003</v>
      </c>
      <c r="K21">
        <v>31491104</v>
      </c>
      <c r="L21">
        <v>8.7831499999999991</v>
      </c>
      <c r="N21">
        <v>37519364</v>
      </c>
      <c r="O21">
        <v>5.8201309999999999</v>
      </c>
      <c r="Q21">
        <v>43547755</v>
      </c>
      <c r="R21">
        <v>11.957765</v>
      </c>
      <c r="T21">
        <v>49576315</v>
      </c>
      <c r="U21">
        <v>13.121772</v>
      </c>
      <c r="W21">
        <v>55604929</v>
      </c>
      <c r="X21">
        <v>13.386297000000001</v>
      </c>
      <c r="Z21">
        <v>61633407</v>
      </c>
      <c r="AA21">
        <v>14.179993</v>
      </c>
      <c r="AC21">
        <v>67661824</v>
      </c>
      <c r="AD21">
        <v>14.603272</v>
      </c>
      <c r="AF21">
        <v>73690307</v>
      </c>
      <c r="AG21">
        <v>14.973644999999999</v>
      </c>
      <c r="AI21">
        <v>79718770</v>
      </c>
      <c r="AJ21">
        <v>15.132379999999999</v>
      </c>
      <c r="AL21">
        <v>85747172</v>
      </c>
      <c r="AM21">
        <v>14.497450000000001</v>
      </c>
      <c r="AO21">
        <v>91775896</v>
      </c>
      <c r="AP21">
        <v>15.555654000000001</v>
      </c>
      <c r="AR21">
        <v>103832783</v>
      </c>
      <c r="AS21">
        <v>15.291095</v>
      </c>
      <c r="AU21">
        <v>109861340</v>
      </c>
      <c r="AV21">
        <v>15.449833999999999</v>
      </c>
      <c r="AX21">
        <v>115889779</v>
      </c>
      <c r="AY21">
        <v>15.291095</v>
      </c>
      <c r="BA21">
        <v>121918290</v>
      </c>
      <c r="BB21">
        <v>15.555668000000001</v>
      </c>
      <c r="BD21">
        <v>127946784</v>
      </c>
      <c r="BE21">
        <v>15.97894</v>
      </c>
      <c r="BG21">
        <v>133975232</v>
      </c>
      <c r="BH21">
        <v>15.820217</v>
      </c>
      <c r="BJ21">
        <v>140003900</v>
      </c>
      <c r="BK21">
        <v>15.661478000000001</v>
      </c>
      <c r="BM21">
        <v>146032507</v>
      </c>
      <c r="BN21">
        <v>16.402215999999999</v>
      </c>
    </row>
    <row r="22" spans="1:66" x14ac:dyDescent="0.35">
      <c r="A22">
        <v>0.40341700000000003</v>
      </c>
      <c r="B22">
        <v>13426304</v>
      </c>
      <c r="C22">
        <v>5.2905000000000001E-2</v>
      </c>
      <c r="E22">
        <v>19454603</v>
      </c>
      <c r="F22">
        <v>2.8571840000000002</v>
      </c>
      <c r="H22">
        <v>25482767</v>
      </c>
      <c r="I22">
        <v>6.1905260000000002</v>
      </c>
      <c r="K22">
        <v>31511260</v>
      </c>
      <c r="L22">
        <v>8.941865</v>
      </c>
      <c r="N22">
        <v>37539517</v>
      </c>
      <c r="O22">
        <v>10.740829</v>
      </c>
      <c r="Q22">
        <v>43567912</v>
      </c>
      <c r="R22">
        <v>11.957741</v>
      </c>
      <c r="T22">
        <v>49596483</v>
      </c>
      <c r="U22">
        <v>13.280511000000001</v>
      </c>
      <c r="W22">
        <v>55625084</v>
      </c>
      <c r="X22">
        <v>14.920735000000001</v>
      </c>
      <c r="Z22">
        <v>61653562</v>
      </c>
      <c r="AA22">
        <v>14.285803</v>
      </c>
      <c r="AC22">
        <v>67681983</v>
      </c>
      <c r="AD22">
        <v>14.444542</v>
      </c>
      <c r="AF22">
        <v>73710464</v>
      </c>
      <c r="AG22">
        <v>17.301701999999999</v>
      </c>
      <c r="AI22">
        <v>79738923</v>
      </c>
      <c r="AJ22">
        <v>15.449846000000001</v>
      </c>
      <c r="AL22">
        <v>85767379</v>
      </c>
      <c r="AM22">
        <v>15.132377</v>
      </c>
      <c r="AO22">
        <v>91796059</v>
      </c>
      <c r="AP22">
        <v>15.291116000000001</v>
      </c>
      <c r="AR22">
        <v>103852967</v>
      </c>
      <c r="AS22">
        <v>15.555668000000001</v>
      </c>
      <c r="AU22">
        <v>109881528</v>
      </c>
      <c r="AV22">
        <v>13.968301</v>
      </c>
      <c r="AX22">
        <v>115909935</v>
      </c>
      <c r="AY22">
        <v>15.185307999999999</v>
      </c>
      <c r="BA22">
        <v>121938449</v>
      </c>
      <c r="BB22">
        <v>15.555668000000001</v>
      </c>
      <c r="BD22">
        <v>127966945</v>
      </c>
      <c r="BE22">
        <v>16.666782000000001</v>
      </c>
      <c r="BG22">
        <v>133995398</v>
      </c>
      <c r="BH22">
        <v>15.714407</v>
      </c>
      <c r="BJ22">
        <v>140024052</v>
      </c>
      <c r="BK22">
        <v>15.714407</v>
      </c>
      <c r="BM22">
        <v>146052665</v>
      </c>
      <c r="BN22">
        <v>16.190595999999999</v>
      </c>
    </row>
    <row r="23" spans="1:66" x14ac:dyDescent="0.35">
      <c r="A23">
        <v>0.42357499999999998</v>
      </c>
      <c r="B23">
        <v>13446462</v>
      </c>
      <c r="C23">
        <v>0</v>
      </c>
      <c r="E23">
        <v>19474770</v>
      </c>
      <c r="F23">
        <v>2.9100419999999998</v>
      </c>
      <c r="H23">
        <v>25502929</v>
      </c>
      <c r="K23">
        <v>31531428</v>
      </c>
      <c r="L23">
        <v>8.9947700000000008</v>
      </c>
      <c r="N23">
        <v>37559676</v>
      </c>
      <c r="O23">
        <v>12.010645999999999</v>
      </c>
      <c r="Q23">
        <v>43588093</v>
      </c>
      <c r="R23">
        <v>10.105896</v>
      </c>
      <c r="T23">
        <v>49616645</v>
      </c>
      <c r="U23">
        <v>13.43924</v>
      </c>
      <c r="W23">
        <v>55645250</v>
      </c>
      <c r="X23">
        <v>13.439249999999999</v>
      </c>
      <c r="Z23">
        <v>61673719</v>
      </c>
      <c r="AA23">
        <v>14.232922</v>
      </c>
      <c r="AC23">
        <v>67702137</v>
      </c>
      <c r="AD23">
        <v>18.412811000000001</v>
      </c>
      <c r="AF23">
        <v>73730626</v>
      </c>
      <c r="AG23">
        <v>14.867822</v>
      </c>
      <c r="AI23">
        <v>79759079</v>
      </c>
      <c r="AJ23">
        <v>15.079464</v>
      </c>
      <c r="AL23">
        <v>85787531</v>
      </c>
      <c r="AM23">
        <v>15.661478000000001</v>
      </c>
      <c r="AO23">
        <v>91816214</v>
      </c>
      <c r="AP23">
        <v>13.333410000000001</v>
      </c>
      <c r="AR23">
        <v>103873134</v>
      </c>
      <c r="AS23">
        <v>15.555656000000001</v>
      </c>
      <c r="AU23">
        <v>109901687</v>
      </c>
      <c r="AV23">
        <v>15.502739</v>
      </c>
      <c r="AX23">
        <v>115930094</v>
      </c>
      <c r="AY23">
        <v>15.343999999999999</v>
      </c>
      <c r="BA23">
        <v>121958608</v>
      </c>
      <c r="BB23">
        <v>15.71439</v>
      </c>
      <c r="BD23">
        <v>127987110</v>
      </c>
      <c r="BE23">
        <v>15.608573</v>
      </c>
      <c r="BG23">
        <v>134015560</v>
      </c>
      <c r="BH23">
        <v>16.137671999999998</v>
      </c>
      <c r="BJ23">
        <v>140044214</v>
      </c>
      <c r="BK23">
        <v>16.984224000000001</v>
      </c>
      <c r="BM23">
        <v>146072853</v>
      </c>
      <c r="BN23">
        <v>16.296398</v>
      </c>
    </row>
    <row r="24" spans="1:66" x14ac:dyDescent="0.35">
      <c r="A24">
        <v>0.44373699999999999</v>
      </c>
      <c r="B24">
        <v>13466624</v>
      </c>
      <c r="C24">
        <v>0</v>
      </c>
      <c r="E24">
        <v>19494930</v>
      </c>
      <c r="F24">
        <v>3.0158999999999998</v>
      </c>
      <c r="H24">
        <v>25523083</v>
      </c>
      <c r="I24">
        <v>6.6138029999999999</v>
      </c>
      <c r="K24">
        <v>31551582</v>
      </c>
      <c r="L24">
        <v>9.1006280000000004</v>
      </c>
      <c r="N24">
        <v>37579831</v>
      </c>
      <c r="O24">
        <v>11.005354000000001</v>
      </c>
      <c r="Q24">
        <v>43608254</v>
      </c>
      <c r="R24">
        <v>11.851931</v>
      </c>
      <c r="T24">
        <v>49636799</v>
      </c>
      <c r="U24">
        <v>13.174685999999999</v>
      </c>
      <c r="W24">
        <v>55665408</v>
      </c>
      <c r="X24">
        <v>13.386369</v>
      </c>
      <c r="Z24">
        <v>61693884</v>
      </c>
      <c r="AA24">
        <v>13.650893999999999</v>
      </c>
      <c r="AC24">
        <v>67722317</v>
      </c>
      <c r="AD24">
        <v>14.497446999999999</v>
      </c>
      <c r="AF24">
        <v>73750785</v>
      </c>
      <c r="AG24">
        <v>14.60327</v>
      </c>
      <c r="AI24">
        <v>79779237</v>
      </c>
      <c r="AJ24">
        <v>15.132365999999999</v>
      </c>
      <c r="AL24">
        <v>85807686</v>
      </c>
      <c r="AM24">
        <v>15.185269999999999</v>
      </c>
      <c r="AO24">
        <v>91836376</v>
      </c>
      <c r="AP24">
        <v>15.026564</v>
      </c>
      <c r="AR24">
        <v>103893294</v>
      </c>
      <c r="AS24">
        <v>18.201160000000002</v>
      </c>
      <c r="AU24">
        <v>109921846</v>
      </c>
      <c r="AV24">
        <v>15.238189999999999</v>
      </c>
      <c r="AX24">
        <v>115950249</v>
      </c>
      <c r="AY24">
        <v>15.502739</v>
      </c>
      <c r="BA24">
        <v>121978770</v>
      </c>
      <c r="BB24">
        <v>15.555655</v>
      </c>
      <c r="BD24">
        <v>128007268</v>
      </c>
      <c r="BE24">
        <v>15.873122</v>
      </c>
      <c r="BG24">
        <v>134035715</v>
      </c>
      <c r="BH24">
        <v>16.243483000000001</v>
      </c>
      <c r="BJ24">
        <v>140064373</v>
      </c>
      <c r="BK24">
        <v>16.984224000000001</v>
      </c>
      <c r="BM24">
        <v>146093039</v>
      </c>
      <c r="BN24">
        <v>16.084748999999999</v>
      </c>
    </row>
    <row r="25" spans="1:66" x14ac:dyDescent="0.35">
      <c r="A25">
        <v>0.463893</v>
      </c>
      <c r="B25">
        <v>13486780</v>
      </c>
      <c r="C25">
        <v>0</v>
      </c>
      <c r="E25">
        <v>19515082</v>
      </c>
      <c r="F25">
        <v>3.174639</v>
      </c>
      <c r="H25">
        <v>25543242</v>
      </c>
      <c r="I25">
        <v>4.8677679999999999</v>
      </c>
      <c r="K25">
        <v>31571736</v>
      </c>
      <c r="L25">
        <v>9.2063900000000007</v>
      </c>
      <c r="N25">
        <v>37600006</v>
      </c>
      <c r="O25">
        <v>11.217022</v>
      </c>
      <c r="Q25">
        <v>43628418</v>
      </c>
      <c r="R25">
        <v>12.169409</v>
      </c>
      <c r="T25">
        <v>49656961</v>
      </c>
      <c r="U25">
        <v>13.227589</v>
      </c>
      <c r="W25">
        <v>55685567</v>
      </c>
      <c r="X25">
        <v>13.227606</v>
      </c>
      <c r="Z25">
        <v>61714040</v>
      </c>
      <c r="AA25">
        <v>14.391660999999999</v>
      </c>
      <c r="AC25">
        <v>67742488</v>
      </c>
      <c r="AD25">
        <v>14.23291</v>
      </c>
      <c r="AF25">
        <v>73770939</v>
      </c>
      <c r="AG25">
        <v>14.550352</v>
      </c>
      <c r="AI25">
        <v>79799426</v>
      </c>
      <c r="AJ25">
        <v>15.079463000000001</v>
      </c>
      <c r="AL25">
        <v>85827837</v>
      </c>
      <c r="AM25">
        <v>14.86783</v>
      </c>
      <c r="AO25">
        <v>91856535</v>
      </c>
      <c r="AP25">
        <v>14.97364</v>
      </c>
      <c r="AR25">
        <v>103913452</v>
      </c>
      <c r="AS25">
        <v>15.185237000000001</v>
      </c>
      <c r="AU25">
        <v>109942004</v>
      </c>
      <c r="AV25">
        <v>15.449833999999999</v>
      </c>
      <c r="AX25">
        <v>115970416</v>
      </c>
      <c r="AY25">
        <v>15.502739</v>
      </c>
      <c r="BA25">
        <v>121998939</v>
      </c>
      <c r="BB25">
        <v>16.084765999999998</v>
      </c>
      <c r="BD25">
        <v>128027420</v>
      </c>
      <c r="BE25">
        <v>15.820206000000001</v>
      </c>
      <c r="BG25">
        <v>134055878</v>
      </c>
      <c r="BH25">
        <v>15.502763</v>
      </c>
      <c r="BJ25">
        <v>140084536</v>
      </c>
      <c r="BK25">
        <v>16.560955</v>
      </c>
      <c r="BM25">
        <v>146113209</v>
      </c>
      <c r="BN25">
        <v>16.243493999999998</v>
      </c>
    </row>
    <row r="26" spans="1:66" x14ac:dyDescent="0.35">
      <c r="A26">
        <v>0.48405900000000002</v>
      </c>
      <c r="B26">
        <v>13506946</v>
      </c>
      <c r="C26">
        <v>0</v>
      </c>
      <c r="E26">
        <v>19535244</v>
      </c>
      <c r="F26">
        <v>3.0158999999999998</v>
      </c>
      <c r="H26">
        <v>25563402</v>
      </c>
      <c r="I26">
        <v>6.7725299999999997</v>
      </c>
      <c r="K26">
        <v>31591899</v>
      </c>
      <c r="L26">
        <v>9.2064380000000003</v>
      </c>
      <c r="N26">
        <v>37620160</v>
      </c>
      <c r="O26">
        <v>11.375737000000001</v>
      </c>
      <c r="Q26">
        <v>43648573</v>
      </c>
      <c r="R26">
        <v>12.433909999999999</v>
      </c>
      <c r="T26">
        <v>49677120</v>
      </c>
      <c r="U26">
        <v>13.386333</v>
      </c>
      <c r="W26">
        <v>55705732</v>
      </c>
      <c r="X26">
        <v>14.76202</v>
      </c>
      <c r="Z26">
        <v>61734203</v>
      </c>
      <c r="AA26">
        <v>14.179969</v>
      </c>
      <c r="AC26">
        <v>67762646</v>
      </c>
      <c r="AD26">
        <v>14.709091000000001</v>
      </c>
      <c r="AF26">
        <v>73791112</v>
      </c>
      <c r="AG26">
        <v>15.873135</v>
      </c>
      <c r="AI26">
        <v>79819611</v>
      </c>
      <c r="AJ26">
        <v>15.132368</v>
      </c>
      <c r="AL26">
        <v>85848024</v>
      </c>
      <c r="AM26">
        <v>12.804316999999999</v>
      </c>
      <c r="AO26">
        <v>91876696</v>
      </c>
      <c r="AP26">
        <v>14.973653000000001</v>
      </c>
      <c r="AR26">
        <v>103933618</v>
      </c>
      <c r="AS26">
        <v>15.502739</v>
      </c>
      <c r="AU26">
        <v>109962163</v>
      </c>
      <c r="AV26">
        <v>15.396929</v>
      </c>
      <c r="AX26">
        <v>115990585</v>
      </c>
      <c r="AY26">
        <v>15.502746</v>
      </c>
      <c r="BA26">
        <v>122019099</v>
      </c>
      <c r="BB26">
        <v>16.084765999999998</v>
      </c>
      <c r="BD26">
        <v>128047587</v>
      </c>
      <c r="BE26">
        <v>17.195881</v>
      </c>
      <c r="BG26">
        <v>134076042</v>
      </c>
      <c r="BH26">
        <v>15.820193</v>
      </c>
      <c r="BJ26">
        <v>140104727</v>
      </c>
      <c r="BK26">
        <v>16.137668999999999</v>
      </c>
      <c r="BM26">
        <v>146133371</v>
      </c>
      <c r="BN26">
        <v>16.190601000000001</v>
      </c>
    </row>
    <row r="27" spans="1:66" x14ac:dyDescent="0.35">
      <c r="A27">
        <v>0.50421000000000005</v>
      </c>
      <c r="B27">
        <v>13527097</v>
      </c>
      <c r="C27">
        <v>0</v>
      </c>
      <c r="E27">
        <v>19555401</v>
      </c>
      <c r="F27">
        <v>3.015924</v>
      </c>
      <c r="H27">
        <v>25583557</v>
      </c>
      <c r="K27">
        <v>31612059</v>
      </c>
      <c r="L27">
        <v>9.4180580000000003</v>
      </c>
      <c r="N27">
        <v>37640318</v>
      </c>
      <c r="O27">
        <v>12.222314000000001</v>
      </c>
      <c r="Q27">
        <v>43668764</v>
      </c>
      <c r="R27">
        <v>12.380981</v>
      </c>
      <c r="T27">
        <v>49697274</v>
      </c>
      <c r="U27">
        <v>10.687887999999999</v>
      </c>
      <c r="W27">
        <v>55725892</v>
      </c>
      <c r="X27">
        <v>13.650893999999999</v>
      </c>
      <c r="Z27">
        <v>61754363</v>
      </c>
      <c r="AA27">
        <v>13.968349</v>
      </c>
      <c r="AC27">
        <v>67782798</v>
      </c>
      <c r="AF27">
        <v>73811276</v>
      </c>
      <c r="AG27">
        <v>14.285814999999999</v>
      </c>
      <c r="AI27">
        <v>79839774</v>
      </c>
      <c r="AJ27">
        <v>15.026534</v>
      </c>
      <c r="AL27">
        <v>85868185</v>
      </c>
      <c r="AM27">
        <v>14.814914</v>
      </c>
      <c r="AO27">
        <v>91896849</v>
      </c>
      <c r="AP27">
        <v>15.079473999999999</v>
      </c>
      <c r="AR27">
        <v>103953780</v>
      </c>
      <c r="AS27">
        <v>15.555668000000001</v>
      </c>
      <c r="AU27">
        <v>109982326</v>
      </c>
      <c r="AV27">
        <v>13.227606</v>
      </c>
      <c r="AX27">
        <v>116010747</v>
      </c>
      <c r="AY27">
        <v>15.873119000000001</v>
      </c>
      <c r="BA27">
        <v>122039257</v>
      </c>
      <c r="BB27">
        <v>15.714383</v>
      </c>
      <c r="BD27">
        <v>128067736</v>
      </c>
      <c r="BE27">
        <v>15.820217</v>
      </c>
      <c r="BG27">
        <v>134096210</v>
      </c>
      <c r="BH27">
        <v>15.608597</v>
      </c>
      <c r="BJ27">
        <v>140124888</v>
      </c>
      <c r="BK27">
        <v>16.137668999999999</v>
      </c>
      <c r="BM27">
        <v>146153524</v>
      </c>
      <c r="BN27">
        <v>15.978968999999999</v>
      </c>
    </row>
    <row r="28" spans="1:66" x14ac:dyDescent="0.35">
      <c r="A28">
        <v>0.52439100000000005</v>
      </c>
      <c r="B28">
        <v>13547278</v>
      </c>
      <c r="C28">
        <v>0</v>
      </c>
      <c r="E28">
        <v>19575554</v>
      </c>
      <c r="F28">
        <v>3.1217579999999998</v>
      </c>
      <c r="H28">
        <v>25603711</v>
      </c>
      <c r="I28">
        <v>6.6666840000000001</v>
      </c>
      <c r="K28">
        <v>31632210</v>
      </c>
      <c r="L28">
        <v>9.6297259999999998</v>
      </c>
      <c r="N28">
        <v>37660477</v>
      </c>
      <c r="O28">
        <v>11.269926999999999</v>
      </c>
      <c r="Q28">
        <v>43688922</v>
      </c>
      <c r="R28">
        <v>12.380981</v>
      </c>
      <c r="T28">
        <v>49717443</v>
      </c>
      <c r="U28">
        <v>13.280511000000001</v>
      </c>
      <c r="W28">
        <v>55746076</v>
      </c>
      <c r="X28">
        <v>13.650893999999999</v>
      </c>
      <c r="Z28">
        <v>61774521</v>
      </c>
      <c r="AA28">
        <v>14.127088000000001</v>
      </c>
      <c r="AC28">
        <v>67802962</v>
      </c>
      <c r="AD28">
        <v>14.232922</v>
      </c>
      <c r="AF28">
        <v>73831429</v>
      </c>
      <c r="AG28">
        <v>14.86783</v>
      </c>
      <c r="AI28">
        <v>79859929</v>
      </c>
      <c r="AJ28">
        <v>15.026558</v>
      </c>
      <c r="AL28">
        <v>85888369</v>
      </c>
      <c r="AM28">
        <v>15.132379999999999</v>
      </c>
      <c r="AO28">
        <v>91917016</v>
      </c>
      <c r="AP28">
        <v>15.238189999999999</v>
      </c>
      <c r="AR28">
        <v>103973976</v>
      </c>
      <c r="AS28">
        <v>15.291095</v>
      </c>
      <c r="AU28">
        <v>110002478</v>
      </c>
      <c r="AV28">
        <v>15.555619999999999</v>
      </c>
      <c r="AX28">
        <v>116030906</v>
      </c>
      <c r="AY28">
        <v>15.661479999999999</v>
      </c>
      <c r="BA28">
        <v>122059418</v>
      </c>
      <c r="BB28">
        <v>15.714377000000001</v>
      </c>
      <c r="BD28">
        <v>128087891</v>
      </c>
      <c r="BE28">
        <v>15.714359</v>
      </c>
      <c r="BG28">
        <v>134116368</v>
      </c>
      <c r="BH28">
        <v>15.608549</v>
      </c>
      <c r="BJ28">
        <v>140145052</v>
      </c>
      <c r="BK28">
        <v>14.973647</v>
      </c>
      <c r="BM28">
        <v>146173687</v>
      </c>
      <c r="BN28">
        <v>15.873098000000001</v>
      </c>
    </row>
    <row r="29" spans="1:66" x14ac:dyDescent="0.35">
      <c r="A29">
        <v>0.54455799999999999</v>
      </c>
      <c r="B29">
        <v>13567445</v>
      </c>
      <c r="C29">
        <v>5.2905000000000001E-2</v>
      </c>
      <c r="E29">
        <v>19595716</v>
      </c>
      <c r="F29">
        <v>3.1745909999999999</v>
      </c>
      <c r="H29">
        <v>25623866</v>
      </c>
      <c r="I29">
        <v>7.0899960000000002</v>
      </c>
      <c r="K29">
        <v>31652366</v>
      </c>
      <c r="L29">
        <v>9.6296789999999994</v>
      </c>
      <c r="N29">
        <v>37680632</v>
      </c>
      <c r="O29">
        <v>11.269902999999999</v>
      </c>
      <c r="Q29">
        <v>43709080</v>
      </c>
      <c r="R29">
        <v>12.910133999999999</v>
      </c>
      <c r="T29">
        <v>49737631</v>
      </c>
      <c r="U29">
        <v>13.439239000000001</v>
      </c>
      <c r="W29">
        <v>55766272</v>
      </c>
      <c r="X29">
        <v>13.915438</v>
      </c>
      <c r="Z29">
        <v>61794674</v>
      </c>
      <c r="AA29">
        <v>14.285803</v>
      </c>
      <c r="AC29">
        <v>67823120</v>
      </c>
      <c r="AD29">
        <v>14.709115000000001</v>
      </c>
      <c r="AF29">
        <v>73851589</v>
      </c>
      <c r="AG29">
        <v>14.920735000000001</v>
      </c>
      <c r="AI29">
        <v>79880080</v>
      </c>
      <c r="AJ29">
        <v>15.079463000000001</v>
      </c>
      <c r="AL29">
        <v>85908523</v>
      </c>
      <c r="AM29">
        <v>15.344011999999999</v>
      </c>
      <c r="AO29">
        <v>91937172</v>
      </c>
      <c r="AP29">
        <v>15.132356</v>
      </c>
      <c r="AR29">
        <v>103994143</v>
      </c>
      <c r="AS29">
        <v>15.291095</v>
      </c>
      <c r="AU29">
        <v>110022637</v>
      </c>
      <c r="AV29">
        <v>15.661478000000001</v>
      </c>
      <c r="AX29">
        <v>116051066</v>
      </c>
      <c r="AY29">
        <v>16.031853000000002</v>
      </c>
      <c r="BA29">
        <v>122079599</v>
      </c>
      <c r="BB29">
        <v>15.396929</v>
      </c>
      <c r="BD29">
        <v>128108062</v>
      </c>
      <c r="BE29">
        <v>16.243504999999999</v>
      </c>
      <c r="BG29">
        <v>134136531</v>
      </c>
      <c r="BH29">
        <v>16.031884999999999</v>
      </c>
      <c r="BJ29">
        <v>140165220</v>
      </c>
      <c r="BK29">
        <v>16.031862</v>
      </c>
      <c r="BM29">
        <v>146193844</v>
      </c>
      <c r="BN29">
        <v>16.455126</v>
      </c>
    </row>
    <row r="30" spans="1:66" x14ac:dyDescent="0.35">
      <c r="A30">
        <v>0.56472</v>
      </c>
      <c r="B30">
        <v>13587607</v>
      </c>
      <c r="C30">
        <v>5.2905000000000001E-2</v>
      </c>
      <c r="E30">
        <v>19615869</v>
      </c>
      <c r="F30">
        <v>3.1746150000000002</v>
      </c>
      <c r="H30">
        <v>25644024</v>
      </c>
      <c r="I30">
        <v>6.9312569999999996</v>
      </c>
      <c r="K30">
        <v>31672557</v>
      </c>
      <c r="L30">
        <v>9.6296789999999994</v>
      </c>
      <c r="N30">
        <v>37700790</v>
      </c>
      <c r="O30">
        <v>11.058235</v>
      </c>
      <c r="Q30">
        <v>43729267</v>
      </c>
      <c r="R30">
        <v>10.211715999999999</v>
      </c>
      <c r="T30">
        <v>49757812</v>
      </c>
      <c r="U30">
        <v>13.386297000000001</v>
      </c>
      <c r="W30">
        <v>55786429</v>
      </c>
      <c r="X30">
        <v>12.910133999999999</v>
      </c>
      <c r="Z30">
        <v>61814871</v>
      </c>
      <c r="AA30">
        <v>12.116479999999999</v>
      </c>
      <c r="AC30">
        <v>67843279</v>
      </c>
      <c r="AD30">
        <v>14.709066999999999</v>
      </c>
      <c r="AF30">
        <v>73871746</v>
      </c>
      <c r="AG30">
        <v>16.084765999999998</v>
      </c>
      <c r="AI30">
        <v>79900237</v>
      </c>
      <c r="AJ30">
        <v>14.86783</v>
      </c>
      <c r="AL30">
        <v>85928713</v>
      </c>
      <c r="AM30">
        <v>13.174701000000001</v>
      </c>
      <c r="AO30">
        <v>91957328</v>
      </c>
      <c r="AP30">
        <v>15.343999999999999</v>
      </c>
      <c r="AR30">
        <v>104014307</v>
      </c>
      <c r="AS30">
        <v>15.079473999999999</v>
      </c>
      <c r="AU30">
        <v>110042796</v>
      </c>
      <c r="AV30">
        <v>15.661478000000001</v>
      </c>
      <c r="AX30">
        <v>116071254</v>
      </c>
      <c r="AY30">
        <v>15.767306</v>
      </c>
      <c r="BA30">
        <v>122099766</v>
      </c>
      <c r="BB30">
        <v>18.09535</v>
      </c>
      <c r="BD30">
        <v>128128219</v>
      </c>
      <c r="BE30">
        <v>18.306995000000001</v>
      </c>
      <c r="BG30">
        <v>134156693</v>
      </c>
      <c r="BH30">
        <v>16.031884999999999</v>
      </c>
      <c r="BJ30">
        <v>140185375</v>
      </c>
      <c r="BK30">
        <v>15.873111</v>
      </c>
      <c r="BM30">
        <v>146214010</v>
      </c>
      <c r="BN30">
        <v>16.296386999999999</v>
      </c>
    </row>
    <row r="31" spans="1:66" x14ac:dyDescent="0.35">
      <c r="A31">
        <v>0.58487100000000003</v>
      </c>
      <c r="B31">
        <v>13607758</v>
      </c>
      <c r="C31">
        <v>0.10581</v>
      </c>
      <c r="E31">
        <v>19636031</v>
      </c>
      <c r="F31">
        <v>3.1745909999999999</v>
      </c>
      <c r="H31">
        <v>25664179</v>
      </c>
      <c r="K31">
        <v>31692711</v>
      </c>
      <c r="L31">
        <v>9.6825960000000002</v>
      </c>
      <c r="N31">
        <v>37720962</v>
      </c>
      <c r="O31">
        <v>11.904859999999999</v>
      </c>
      <c r="Q31">
        <v>43749428</v>
      </c>
      <c r="R31">
        <v>12.48686</v>
      </c>
      <c r="T31">
        <v>49777996</v>
      </c>
      <c r="U31">
        <v>11.322832</v>
      </c>
      <c r="W31">
        <v>55806585</v>
      </c>
      <c r="X31">
        <v>14.074171</v>
      </c>
      <c r="Z31">
        <v>61835027</v>
      </c>
      <c r="AA31">
        <v>14.18004</v>
      </c>
      <c r="AC31">
        <v>67863450</v>
      </c>
      <c r="AD31">
        <v>17.936658999999999</v>
      </c>
      <c r="AF31">
        <v>73891905</v>
      </c>
      <c r="AG31">
        <v>15.026593</v>
      </c>
      <c r="AI31">
        <v>79920397</v>
      </c>
      <c r="AJ31">
        <v>15.079497999999999</v>
      </c>
      <c r="AL31">
        <v>85948867</v>
      </c>
      <c r="AM31">
        <v>14.86783</v>
      </c>
      <c r="AO31">
        <v>91977487</v>
      </c>
      <c r="AP31">
        <v>15.185285</v>
      </c>
      <c r="AR31">
        <v>104034466</v>
      </c>
      <c r="AS31">
        <v>15.291119</v>
      </c>
      <c r="AU31">
        <v>110062951</v>
      </c>
      <c r="AV31">
        <v>15.767301</v>
      </c>
      <c r="AX31">
        <v>116091417</v>
      </c>
      <c r="AY31">
        <v>15.396922999999999</v>
      </c>
      <c r="BA31">
        <v>122119923</v>
      </c>
      <c r="BB31">
        <v>15.820217</v>
      </c>
      <c r="BD31">
        <v>128148406</v>
      </c>
      <c r="BE31">
        <v>13.545059999999999</v>
      </c>
      <c r="BG31">
        <v>134176882</v>
      </c>
      <c r="BH31">
        <v>16.455137000000001</v>
      </c>
      <c r="BJ31">
        <v>140205530</v>
      </c>
      <c r="BK31">
        <v>18.148268000000002</v>
      </c>
      <c r="BM31">
        <v>146234171</v>
      </c>
      <c r="BN31">
        <v>15.926050999999999</v>
      </c>
    </row>
    <row r="32" spans="1:66" x14ac:dyDescent="0.35">
      <c r="A32">
        <v>0.60503200000000001</v>
      </c>
      <c r="B32">
        <v>13627919</v>
      </c>
      <c r="C32">
        <v>0</v>
      </c>
      <c r="E32">
        <v>19656185</v>
      </c>
      <c r="F32">
        <v>2.433872</v>
      </c>
      <c r="H32">
        <v>25684371</v>
      </c>
      <c r="I32">
        <v>6.9841620000000004</v>
      </c>
      <c r="K32">
        <v>31712869</v>
      </c>
      <c r="L32">
        <v>10.052973</v>
      </c>
      <c r="N32">
        <v>37741136</v>
      </c>
      <c r="O32">
        <v>11.481571000000001</v>
      </c>
      <c r="Q32">
        <v>43769589</v>
      </c>
      <c r="R32">
        <v>12.910138</v>
      </c>
      <c r="T32">
        <v>49798155</v>
      </c>
      <c r="U32">
        <v>13.439226</v>
      </c>
      <c r="W32">
        <v>55826745</v>
      </c>
      <c r="X32">
        <v>14.338717000000001</v>
      </c>
      <c r="Z32">
        <v>61855181</v>
      </c>
      <c r="AA32">
        <v>14.603232999999999</v>
      </c>
      <c r="AC32">
        <v>67883603</v>
      </c>
      <c r="AD32">
        <v>14.391613</v>
      </c>
      <c r="AF32">
        <v>73912059</v>
      </c>
      <c r="AG32">
        <v>14.709091000000001</v>
      </c>
      <c r="AI32">
        <v>79940559</v>
      </c>
      <c r="AJ32">
        <v>15.343999999999999</v>
      </c>
      <c r="AL32">
        <v>85969051</v>
      </c>
      <c r="AM32">
        <v>16.878391000000001</v>
      </c>
      <c r="AO32">
        <v>91997646</v>
      </c>
      <c r="AP32">
        <v>14.709066999999999</v>
      </c>
      <c r="AR32">
        <v>104054632</v>
      </c>
      <c r="AS32">
        <v>15.714359</v>
      </c>
      <c r="AU32">
        <v>110083116</v>
      </c>
      <c r="AV32">
        <v>15.767306</v>
      </c>
      <c r="AX32">
        <v>116111586</v>
      </c>
      <c r="AY32">
        <v>15.767312</v>
      </c>
      <c r="BA32">
        <v>122140084</v>
      </c>
      <c r="BB32">
        <v>14.444518</v>
      </c>
      <c r="BD32">
        <v>128168569</v>
      </c>
      <c r="BE32">
        <v>15.767312</v>
      </c>
      <c r="BG32">
        <v>134197044</v>
      </c>
      <c r="BH32">
        <v>16.243493999999998</v>
      </c>
      <c r="BJ32">
        <v>140225696</v>
      </c>
      <c r="BK32">
        <v>16.137671999999998</v>
      </c>
      <c r="BM32">
        <v>146254329</v>
      </c>
      <c r="BN32">
        <v>16.137671999999998</v>
      </c>
    </row>
    <row r="33" spans="1:66" x14ac:dyDescent="0.35">
      <c r="A33">
        <v>0.62518499999999999</v>
      </c>
      <c r="B33">
        <v>13648072</v>
      </c>
      <c r="C33">
        <v>0</v>
      </c>
      <c r="E33">
        <v>19676340</v>
      </c>
      <c r="F33">
        <v>3.2804489999999999</v>
      </c>
      <c r="H33">
        <v>25704531</v>
      </c>
      <c r="I33">
        <v>7.3545689999999997</v>
      </c>
      <c r="K33">
        <v>31733023</v>
      </c>
      <c r="L33">
        <v>7.7249230000000004</v>
      </c>
      <c r="N33">
        <v>37761298</v>
      </c>
      <c r="O33">
        <v>11.481571000000001</v>
      </c>
      <c r="Q33">
        <v>43789751</v>
      </c>
      <c r="R33">
        <v>12.857224</v>
      </c>
      <c r="T33">
        <v>49818314</v>
      </c>
      <c r="U33">
        <v>14.656162</v>
      </c>
      <c r="W33">
        <v>55846908</v>
      </c>
      <c r="X33">
        <v>14.179987000000001</v>
      </c>
      <c r="Z33">
        <v>61875347</v>
      </c>
      <c r="AA33">
        <v>14.603232999999999</v>
      </c>
      <c r="AC33">
        <v>67903755</v>
      </c>
      <c r="AD33">
        <v>14.550376</v>
      </c>
      <c r="AF33">
        <v>73932217</v>
      </c>
      <c r="AG33">
        <v>14.709091000000001</v>
      </c>
      <c r="AI33">
        <v>79960719</v>
      </c>
      <c r="AJ33">
        <v>15.026546</v>
      </c>
      <c r="AL33">
        <v>85989216</v>
      </c>
      <c r="AM33">
        <v>15.132356</v>
      </c>
      <c r="AO33">
        <v>92017807</v>
      </c>
      <c r="AP33">
        <v>14.86783</v>
      </c>
      <c r="AR33">
        <v>104074820</v>
      </c>
      <c r="AS33">
        <v>15.714359</v>
      </c>
      <c r="AU33">
        <v>110103284</v>
      </c>
      <c r="AV33">
        <v>15.661469</v>
      </c>
      <c r="AX33">
        <v>116131745</v>
      </c>
      <c r="AY33">
        <v>15.502751</v>
      </c>
      <c r="BA33">
        <v>122160250</v>
      </c>
      <c r="BB33">
        <v>15.820217</v>
      </c>
      <c r="BD33">
        <v>128188758</v>
      </c>
      <c r="BE33">
        <v>13.492155</v>
      </c>
      <c r="BG33">
        <v>134217213</v>
      </c>
      <c r="BH33">
        <v>16.031853000000002</v>
      </c>
      <c r="BJ33">
        <v>140245882</v>
      </c>
      <c r="BK33">
        <v>12.328124000000001</v>
      </c>
      <c r="BM33">
        <v>146274494</v>
      </c>
      <c r="BN33">
        <v>16.349316000000002</v>
      </c>
    </row>
    <row r="34" spans="1:66" x14ac:dyDescent="0.35">
      <c r="A34">
        <v>0.64536099999999996</v>
      </c>
      <c r="B34">
        <v>13668248</v>
      </c>
      <c r="C34">
        <v>0</v>
      </c>
      <c r="E34">
        <v>19696494</v>
      </c>
      <c r="F34">
        <v>3.1217579999999998</v>
      </c>
      <c r="H34">
        <v>25724679</v>
      </c>
      <c r="I34">
        <v>7.3545689999999997</v>
      </c>
      <c r="K34">
        <v>31753174</v>
      </c>
      <c r="L34">
        <v>9.9471539999999994</v>
      </c>
      <c r="N34">
        <v>37781456</v>
      </c>
      <c r="O34">
        <v>11.746109000000001</v>
      </c>
      <c r="Q34">
        <v>43809901</v>
      </c>
      <c r="R34">
        <v>12.539762</v>
      </c>
      <c r="T34">
        <v>49838508</v>
      </c>
      <c r="U34">
        <v>13.545036</v>
      </c>
      <c r="W34">
        <v>55867062</v>
      </c>
      <c r="X34">
        <v>13.91545</v>
      </c>
      <c r="Z34">
        <v>61895507</v>
      </c>
      <c r="AA34">
        <v>14.391631</v>
      </c>
      <c r="AC34">
        <v>67923907</v>
      </c>
      <c r="AD34">
        <v>14.021254000000001</v>
      </c>
      <c r="AF34">
        <v>73952400</v>
      </c>
      <c r="AG34">
        <v>14.179969</v>
      </c>
      <c r="AI34">
        <v>79980874</v>
      </c>
      <c r="AJ34">
        <v>14.65621</v>
      </c>
      <c r="AL34">
        <v>86009376</v>
      </c>
      <c r="AM34">
        <v>14.86783</v>
      </c>
      <c r="AO34">
        <v>92037968</v>
      </c>
      <c r="AP34">
        <v>14.920712</v>
      </c>
      <c r="AR34">
        <v>104094987</v>
      </c>
      <c r="AS34">
        <v>15.449833999999999</v>
      </c>
      <c r="AU34">
        <v>110123456</v>
      </c>
      <c r="AV34">
        <v>15.873116</v>
      </c>
      <c r="AX34">
        <v>116151906</v>
      </c>
      <c r="AY34">
        <v>15.608573</v>
      </c>
      <c r="BA34">
        <v>122180418</v>
      </c>
      <c r="BB34">
        <v>17.619157999999999</v>
      </c>
      <c r="BD34">
        <v>128208925</v>
      </c>
      <c r="BE34">
        <v>15.502739</v>
      </c>
      <c r="BG34">
        <v>134237378</v>
      </c>
      <c r="BH34">
        <v>16.084755000000001</v>
      </c>
      <c r="BJ34">
        <v>140266042</v>
      </c>
      <c r="BK34">
        <v>15.978909</v>
      </c>
      <c r="BM34">
        <v>146294651</v>
      </c>
      <c r="BN34">
        <v>15.714407</v>
      </c>
    </row>
    <row r="35" spans="1:66" x14ac:dyDescent="0.35">
      <c r="A35">
        <v>0.665524</v>
      </c>
      <c r="B35">
        <v>13688411</v>
      </c>
      <c r="C35">
        <v>0</v>
      </c>
      <c r="E35">
        <v>19716652</v>
      </c>
      <c r="F35">
        <v>3.3333780000000002</v>
      </c>
      <c r="H35">
        <v>25744837</v>
      </c>
      <c r="I35">
        <v>10.317539999999999</v>
      </c>
      <c r="K35">
        <v>31773334</v>
      </c>
      <c r="L35">
        <v>9.8942479999999993</v>
      </c>
      <c r="N35">
        <v>37801614</v>
      </c>
      <c r="O35">
        <v>10.423349999999999</v>
      </c>
      <c r="Q35">
        <v>43830057</v>
      </c>
      <c r="R35">
        <v>12.592668</v>
      </c>
      <c r="T35">
        <v>49858667</v>
      </c>
      <c r="U35">
        <v>13.280487000000001</v>
      </c>
      <c r="W35">
        <v>55887227</v>
      </c>
      <c r="X35">
        <v>11.693192</v>
      </c>
      <c r="Z35">
        <v>61915698</v>
      </c>
      <c r="AA35">
        <v>14.444542</v>
      </c>
      <c r="AC35">
        <v>67944061</v>
      </c>
      <c r="AF35">
        <v>73972559</v>
      </c>
      <c r="AG35">
        <v>14.603281000000001</v>
      </c>
      <c r="AI35">
        <v>80001031</v>
      </c>
      <c r="AJ35">
        <v>14.76202</v>
      </c>
      <c r="AL35">
        <v>86029556</v>
      </c>
      <c r="AM35">
        <v>14.444566</v>
      </c>
      <c r="AO35">
        <v>92058125</v>
      </c>
      <c r="AP35">
        <v>14.709091000000001</v>
      </c>
      <c r="AR35">
        <v>104115143</v>
      </c>
      <c r="AS35">
        <v>15.555656000000001</v>
      </c>
      <c r="AU35">
        <v>110143612</v>
      </c>
      <c r="AV35">
        <v>15.820206000000001</v>
      </c>
      <c r="AX35">
        <v>116172066</v>
      </c>
      <c r="AY35">
        <v>15.608561999999999</v>
      </c>
      <c r="BA35">
        <v>122200578</v>
      </c>
      <c r="BB35">
        <v>15.873146</v>
      </c>
      <c r="BD35">
        <v>128229082</v>
      </c>
      <c r="BE35">
        <v>15.820217</v>
      </c>
      <c r="BG35">
        <v>134257569</v>
      </c>
      <c r="BH35">
        <v>13.703796000000001</v>
      </c>
      <c r="BJ35">
        <v>140286204</v>
      </c>
      <c r="BK35">
        <v>15.978909</v>
      </c>
      <c r="BM35">
        <v>146314813</v>
      </c>
      <c r="BN35">
        <v>15.714407</v>
      </c>
    </row>
    <row r="36" spans="1:66" x14ac:dyDescent="0.35">
      <c r="A36">
        <v>0.68567800000000001</v>
      </c>
      <c r="B36">
        <v>13708565</v>
      </c>
      <c r="C36">
        <v>0</v>
      </c>
      <c r="E36">
        <v>19736802</v>
      </c>
      <c r="F36">
        <v>1.798964</v>
      </c>
      <c r="H36">
        <v>25764989</v>
      </c>
      <c r="I36">
        <v>7.2487589999999997</v>
      </c>
      <c r="K36">
        <v>31793492</v>
      </c>
      <c r="L36">
        <v>10.158795</v>
      </c>
      <c r="N36">
        <v>37821774</v>
      </c>
      <c r="O36">
        <v>11.851933000000001</v>
      </c>
      <c r="Q36">
        <v>43850240</v>
      </c>
      <c r="R36">
        <v>12.645567</v>
      </c>
      <c r="T36">
        <v>49878824</v>
      </c>
      <c r="U36">
        <v>12.751412</v>
      </c>
      <c r="W36">
        <v>55907386</v>
      </c>
      <c r="X36">
        <v>13.862527</v>
      </c>
      <c r="Z36">
        <v>61935857</v>
      </c>
      <c r="AA36">
        <v>14.656178000000001</v>
      </c>
      <c r="AC36">
        <v>67964225</v>
      </c>
      <c r="AD36">
        <v>14.444494000000001</v>
      </c>
      <c r="AF36">
        <v>73992715</v>
      </c>
      <c r="AG36">
        <v>14.338684000000001</v>
      </c>
      <c r="AI36">
        <v>80021183</v>
      </c>
      <c r="AJ36">
        <v>14.920759</v>
      </c>
      <c r="AL36">
        <v>86049743</v>
      </c>
      <c r="AM36">
        <v>17.88373</v>
      </c>
      <c r="AO36">
        <v>92078312</v>
      </c>
      <c r="AP36">
        <v>13.174677000000001</v>
      </c>
      <c r="AR36">
        <v>104135298</v>
      </c>
      <c r="AS36">
        <v>15.344010000000001</v>
      </c>
      <c r="AU36">
        <v>110163772</v>
      </c>
      <c r="AV36">
        <v>15.396922999999999</v>
      </c>
      <c r="AX36">
        <v>116192225</v>
      </c>
      <c r="AY36">
        <v>15.555643999999999</v>
      </c>
      <c r="BA36">
        <v>122220745</v>
      </c>
      <c r="BB36">
        <v>15.767312</v>
      </c>
      <c r="BD36">
        <v>128249241</v>
      </c>
      <c r="BE36">
        <v>15.820217</v>
      </c>
      <c r="BG36">
        <v>134277728</v>
      </c>
      <c r="BH36">
        <v>16.137671999999998</v>
      </c>
      <c r="BJ36">
        <v>140306367</v>
      </c>
      <c r="BK36">
        <v>16.190624</v>
      </c>
      <c r="BM36">
        <v>146334988</v>
      </c>
      <c r="BN36">
        <v>15.714407</v>
      </c>
    </row>
    <row r="37" spans="1:66" x14ac:dyDescent="0.35">
      <c r="A37">
        <v>0.70586300000000002</v>
      </c>
      <c r="B37">
        <v>13728750</v>
      </c>
      <c r="C37">
        <v>0</v>
      </c>
      <c r="E37">
        <v>19756960</v>
      </c>
      <c r="F37">
        <v>3.4391880000000001</v>
      </c>
      <c r="H37">
        <v>25785150</v>
      </c>
      <c r="I37">
        <v>7.407451</v>
      </c>
      <c r="K37">
        <v>31813647</v>
      </c>
      <c r="L37">
        <v>10.317534</v>
      </c>
      <c r="N37">
        <v>37841943</v>
      </c>
      <c r="O37">
        <v>11.640288</v>
      </c>
      <c r="Q37">
        <v>43870421</v>
      </c>
      <c r="R37">
        <v>12.751412</v>
      </c>
      <c r="T37">
        <v>49898983</v>
      </c>
      <c r="U37">
        <v>16.190624</v>
      </c>
      <c r="W37">
        <v>55927548</v>
      </c>
      <c r="X37">
        <v>13.597965</v>
      </c>
      <c r="Z37">
        <v>61956019</v>
      </c>
      <c r="AA37">
        <v>14.603265</v>
      </c>
      <c r="AC37">
        <v>67984389</v>
      </c>
      <c r="AD37">
        <v>14.444494000000001</v>
      </c>
      <c r="AF37">
        <v>74012888</v>
      </c>
      <c r="AG37">
        <v>14.603281000000001</v>
      </c>
      <c r="AI37">
        <v>80041378</v>
      </c>
      <c r="AJ37">
        <v>14.338732</v>
      </c>
      <c r="AL37">
        <v>86069893</v>
      </c>
      <c r="AM37">
        <v>14.76202</v>
      </c>
      <c r="AO37">
        <v>92098472</v>
      </c>
      <c r="AP37">
        <v>15.291071000000001</v>
      </c>
      <c r="AR37">
        <v>104155455</v>
      </c>
      <c r="AS37">
        <v>15.97894</v>
      </c>
      <c r="AU37">
        <v>110183931</v>
      </c>
      <c r="AV37">
        <v>13.333416</v>
      </c>
      <c r="AX37">
        <v>116212389</v>
      </c>
      <c r="AY37">
        <v>15.714383</v>
      </c>
      <c r="BA37">
        <v>122240900</v>
      </c>
      <c r="BB37">
        <v>13.597941</v>
      </c>
      <c r="BD37">
        <v>128269401</v>
      </c>
      <c r="BE37">
        <v>15.926034</v>
      </c>
      <c r="BG37">
        <v>134297889</v>
      </c>
      <c r="BH37">
        <v>15.92604</v>
      </c>
      <c r="BJ37">
        <v>140326539</v>
      </c>
      <c r="BK37">
        <v>16.296386999999999</v>
      </c>
      <c r="BM37">
        <v>146355148</v>
      </c>
      <c r="BN37">
        <v>17.830807</v>
      </c>
    </row>
    <row r="38" spans="1:66" x14ac:dyDescent="0.35">
      <c r="A38">
        <v>0.72602699999999998</v>
      </c>
      <c r="B38">
        <v>13748914</v>
      </c>
      <c r="C38">
        <v>0</v>
      </c>
      <c r="E38">
        <v>19777116</v>
      </c>
      <c r="F38">
        <v>3.4920689999999999</v>
      </c>
      <c r="H38">
        <v>25805343</v>
      </c>
      <c r="I38">
        <v>2.3280620000000001</v>
      </c>
      <c r="K38">
        <v>31833801</v>
      </c>
      <c r="L38">
        <v>10.105872</v>
      </c>
      <c r="N38">
        <v>37862102</v>
      </c>
      <c r="O38">
        <v>11.957746999999999</v>
      </c>
      <c r="Q38">
        <v>43890591</v>
      </c>
      <c r="R38">
        <v>12.592662000000001</v>
      </c>
      <c r="T38">
        <v>49919142</v>
      </c>
      <c r="U38">
        <v>12.857246</v>
      </c>
      <c r="W38">
        <v>55947707</v>
      </c>
      <c r="X38">
        <v>13.809597999999999</v>
      </c>
      <c r="Z38">
        <v>61976181</v>
      </c>
      <c r="AA38">
        <v>14.550369999999999</v>
      </c>
      <c r="AC38">
        <v>68004548</v>
      </c>
      <c r="AD38">
        <v>14.656180000000001</v>
      </c>
      <c r="AF38">
        <v>74033043</v>
      </c>
      <c r="AG38">
        <v>14.97364</v>
      </c>
      <c r="AI38">
        <v>80061545</v>
      </c>
      <c r="AJ38">
        <v>14.76202</v>
      </c>
      <c r="AL38">
        <v>86090051</v>
      </c>
      <c r="AM38">
        <v>14.814949</v>
      </c>
      <c r="AO38">
        <v>92118634</v>
      </c>
      <c r="AP38">
        <v>15.291071000000001</v>
      </c>
      <c r="AR38">
        <v>104175613</v>
      </c>
      <c r="AS38">
        <v>15.820220000000001</v>
      </c>
      <c r="AU38">
        <v>110204086</v>
      </c>
      <c r="AV38">
        <v>15.449833999999999</v>
      </c>
      <c r="AX38">
        <v>116232547</v>
      </c>
      <c r="AY38">
        <v>15.820217</v>
      </c>
      <c r="BA38">
        <v>122261060</v>
      </c>
      <c r="BB38">
        <v>16.984272000000001</v>
      </c>
      <c r="BD38">
        <v>128289562</v>
      </c>
      <c r="BE38">
        <v>16.243497999999999</v>
      </c>
      <c r="BG38">
        <v>134318047</v>
      </c>
      <c r="BH38">
        <v>15.767301</v>
      </c>
      <c r="BJ38">
        <v>140346693</v>
      </c>
      <c r="BK38">
        <v>14.497471000000001</v>
      </c>
      <c r="BM38">
        <v>146375307</v>
      </c>
      <c r="BN38">
        <v>16.349308000000001</v>
      </c>
    </row>
    <row r="39" spans="1:66" x14ac:dyDescent="0.35">
      <c r="A39">
        <v>0.74621300000000002</v>
      </c>
      <c r="B39">
        <v>13769100</v>
      </c>
      <c r="C39">
        <v>0</v>
      </c>
      <c r="E39">
        <v>19797274</v>
      </c>
      <c r="F39">
        <v>3.4921169999999999</v>
      </c>
      <c r="H39">
        <v>25825502</v>
      </c>
      <c r="I39">
        <v>11.217022</v>
      </c>
      <c r="K39">
        <v>31853957</v>
      </c>
      <c r="L39">
        <v>9.8942580000000007</v>
      </c>
      <c r="N39">
        <v>37882262</v>
      </c>
      <c r="O39">
        <v>11.587376000000001</v>
      </c>
      <c r="Q39">
        <v>43910753</v>
      </c>
      <c r="R39">
        <v>12.698496</v>
      </c>
      <c r="T39">
        <v>49939308</v>
      </c>
      <c r="U39">
        <v>13.386345</v>
      </c>
      <c r="W39">
        <v>55967864</v>
      </c>
      <c r="X39">
        <v>13.756669</v>
      </c>
      <c r="Z39">
        <v>61996339</v>
      </c>
      <c r="AA39">
        <v>14.444545</v>
      </c>
      <c r="AC39">
        <v>68024706</v>
      </c>
      <c r="AD39">
        <v>18.624468</v>
      </c>
      <c r="AF39">
        <v>74053205</v>
      </c>
      <c r="AG39">
        <v>14.97364</v>
      </c>
      <c r="AI39">
        <v>80081705</v>
      </c>
      <c r="AJ39">
        <v>13.227653999999999</v>
      </c>
      <c r="AL39">
        <v>86110225</v>
      </c>
      <c r="AM39">
        <v>14.814949</v>
      </c>
      <c r="AO39">
        <v>92138794</v>
      </c>
      <c r="AP39">
        <v>15.449840999999999</v>
      </c>
      <c r="AR39">
        <v>104195772</v>
      </c>
      <c r="AS39">
        <v>15.238189999999999</v>
      </c>
      <c r="AU39">
        <v>110224254</v>
      </c>
      <c r="AV39">
        <v>15.873135</v>
      </c>
      <c r="AX39">
        <v>116252737</v>
      </c>
      <c r="AY39">
        <v>11.481571000000001</v>
      </c>
      <c r="BA39">
        <v>122281221</v>
      </c>
      <c r="BB39">
        <v>15.767336</v>
      </c>
      <c r="BD39">
        <v>128309725</v>
      </c>
      <c r="BE39">
        <v>15.661469</v>
      </c>
      <c r="BG39">
        <v>134338214</v>
      </c>
      <c r="BH39">
        <v>16.031836999999999</v>
      </c>
      <c r="BJ39">
        <v>140366853</v>
      </c>
      <c r="BK39">
        <v>18.889023000000002</v>
      </c>
      <c r="BM39">
        <v>146395466</v>
      </c>
      <c r="BN39">
        <v>16.137668999999999</v>
      </c>
    </row>
    <row r="40" spans="1:66" x14ac:dyDescent="0.35">
      <c r="A40">
        <v>0.766374</v>
      </c>
      <c r="B40">
        <v>13789261</v>
      </c>
      <c r="C40">
        <v>0</v>
      </c>
      <c r="E40">
        <v>19817427</v>
      </c>
      <c r="F40">
        <v>3.6508560000000001</v>
      </c>
      <c r="H40">
        <v>25845660</v>
      </c>
      <c r="I40">
        <v>7.4603320000000002</v>
      </c>
      <c r="K40">
        <v>31874117</v>
      </c>
      <c r="L40">
        <v>10.000068000000001</v>
      </c>
      <c r="N40">
        <v>37902455</v>
      </c>
      <c r="O40">
        <v>11.428637</v>
      </c>
      <c r="Q40">
        <v>43930910</v>
      </c>
      <c r="R40">
        <v>12.539744000000001</v>
      </c>
      <c r="T40">
        <v>49959462</v>
      </c>
      <c r="U40">
        <v>13.386345</v>
      </c>
      <c r="W40">
        <v>55988035</v>
      </c>
      <c r="X40">
        <v>12.592673</v>
      </c>
      <c r="Z40">
        <v>62016494</v>
      </c>
      <c r="AA40">
        <v>14.338715000000001</v>
      </c>
      <c r="AC40">
        <v>68044867</v>
      </c>
      <c r="AD40">
        <v>14.70909</v>
      </c>
      <c r="AF40">
        <v>74073368</v>
      </c>
      <c r="AG40">
        <v>14.867825</v>
      </c>
      <c r="AI40">
        <v>80101869</v>
      </c>
      <c r="AJ40">
        <v>13.227653999999999</v>
      </c>
      <c r="AL40">
        <v>86130390</v>
      </c>
      <c r="AM40">
        <v>17.090059</v>
      </c>
      <c r="AO40">
        <v>92158958</v>
      </c>
      <c r="AP40">
        <v>15.502751</v>
      </c>
      <c r="AR40">
        <v>104215938</v>
      </c>
      <c r="AS40">
        <v>15.396922999999999</v>
      </c>
      <c r="AU40">
        <v>110244416</v>
      </c>
      <c r="AV40">
        <v>15.344023999999999</v>
      </c>
      <c r="AX40">
        <v>116272898</v>
      </c>
      <c r="AY40">
        <v>17.248798000000001</v>
      </c>
      <c r="BA40">
        <v>122301384</v>
      </c>
      <c r="BB40">
        <v>15.714407</v>
      </c>
      <c r="BD40">
        <v>128329917</v>
      </c>
      <c r="BE40">
        <v>15.873122</v>
      </c>
      <c r="BG40">
        <v>134358371</v>
      </c>
      <c r="BH40">
        <v>15.978909</v>
      </c>
      <c r="BJ40">
        <v>140387022</v>
      </c>
      <c r="BK40">
        <v>15.820217</v>
      </c>
      <c r="BM40">
        <v>146415622</v>
      </c>
      <c r="BN40">
        <v>16.402225000000001</v>
      </c>
    </row>
    <row r="41" spans="1:66" x14ac:dyDescent="0.35">
      <c r="A41">
        <v>0.78652699999999998</v>
      </c>
      <c r="B41">
        <v>13809414</v>
      </c>
      <c r="C41">
        <v>0</v>
      </c>
      <c r="E41">
        <v>19837584</v>
      </c>
      <c r="F41">
        <v>4.7619340000000001</v>
      </c>
      <c r="H41">
        <v>25865814</v>
      </c>
      <c r="I41">
        <v>7.354546</v>
      </c>
      <c r="K41">
        <v>31894279</v>
      </c>
      <c r="L41">
        <v>10.052991</v>
      </c>
      <c r="N41">
        <v>37922610</v>
      </c>
      <c r="O41">
        <v>11.428654999999999</v>
      </c>
      <c r="Q41">
        <v>43951064</v>
      </c>
      <c r="R41">
        <v>12.486815</v>
      </c>
      <c r="T41">
        <v>49979622</v>
      </c>
      <c r="U41">
        <v>13.386345</v>
      </c>
      <c r="W41">
        <v>56008198</v>
      </c>
      <c r="X41">
        <v>13.915443</v>
      </c>
      <c r="Z41">
        <v>62036664</v>
      </c>
      <c r="AA41">
        <v>14.285791</v>
      </c>
      <c r="AC41">
        <v>68065051</v>
      </c>
      <c r="AD41">
        <v>14.814919</v>
      </c>
      <c r="AF41">
        <v>74093526</v>
      </c>
      <c r="AG41">
        <v>14.60327</v>
      </c>
      <c r="AI41">
        <v>80122035</v>
      </c>
      <c r="AJ41">
        <v>14.97364</v>
      </c>
      <c r="AL41">
        <v>86150540</v>
      </c>
      <c r="AM41">
        <v>15.132374</v>
      </c>
      <c r="AO41">
        <v>92179114</v>
      </c>
      <c r="AP41">
        <v>15.396922999999999</v>
      </c>
      <c r="AR41">
        <v>104236093</v>
      </c>
      <c r="AS41">
        <v>15.291095</v>
      </c>
      <c r="AU41">
        <v>110264574</v>
      </c>
      <c r="AV41">
        <v>15.396929</v>
      </c>
      <c r="AX41">
        <v>116293056</v>
      </c>
      <c r="AY41">
        <v>15.132332</v>
      </c>
      <c r="BA41">
        <v>122321549</v>
      </c>
      <c r="BB41">
        <v>15.714407</v>
      </c>
      <c r="BD41">
        <v>128350072</v>
      </c>
      <c r="BE41">
        <v>15.978939</v>
      </c>
      <c r="BG41">
        <v>134378571</v>
      </c>
      <c r="BH41">
        <v>15.978956</v>
      </c>
      <c r="BJ41">
        <v>140407178</v>
      </c>
      <c r="BK41">
        <v>15.978956</v>
      </c>
      <c r="BM41">
        <v>146435793</v>
      </c>
      <c r="BN41">
        <v>17.989529000000001</v>
      </c>
    </row>
    <row r="42" spans="1:66" x14ac:dyDescent="0.35">
      <c r="A42">
        <v>0.80668200000000001</v>
      </c>
      <c r="B42">
        <v>13829569</v>
      </c>
      <c r="C42">
        <v>0</v>
      </c>
      <c r="E42">
        <v>19857743</v>
      </c>
      <c r="F42">
        <v>3.386307</v>
      </c>
      <c r="H42">
        <v>25885965</v>
      </c>
      <c r="I42">
        <v>7.3544980000000004</v>
      </c>
      <c r="K42">
        <v>31914437</v>
      </c>
      <c r="L42">
        <v>10.15879</v>
      </c>
      <c r="N42">
        <v>37942768</v>
      </c>
      <c r="O42">
        <v>11.746119999999999</v>
      </c>
      <c r="Q42">
        <v>43971219</v>
      </c>
      <c r="R42">
        <v>12.592649</v>
      </c>
      <c r="T42">
        <v>49999786</v>
      </c>
      <c r="U42">
        <v>13.597977999999999</v>
      </c>
      <c r="W42">
        <v>56028357</v>
      </c>
      <c r="X42">
        <v>14.127110999999999</v>
      </c>
      <c r="Z42">
        <v>62056824</v>
      </c>
      <c r="AA42">
        <v>14.127064000000001</v>
      </c>
      <c r="AC42">
        <v>68085222</v>
      </c>
      <c r="AD42">
        <v>14.656174999999999</v>
      </c>
      <c r="AF42">
        <v>74113682</v>
      </c>
      <c r="AG42">
        <v>14.656186</v>
      </c>
      <c r="AI42">
        <v>80142188</v>
      </c>
      <c r="AJ42">
        <v>15.079469</v>
      </c>
      <c r="AL42">
        <v>86170702</v>
      </c>
      <c r="AM42">
        <v>15.132377</v>
      </c>
      <c r="AO42">
        <v>92199274</v>
      </c>
      <c r="AP42">
        <v>15.502758999999999</v>
      </c>
      <c r="AR42">
        <v>104256249</v>
      </c>
      <c r="AS42">
        <v>15.449821999999999</v>
      </c>
      <c r="AU42">
        <v>110284729</v>
      </c>
      <c r="AV42">
        <v>13.280487000000001</v>
      </c>
      <c r="AX42">
        <v>116313209</v>
      </c>
      <c r="AY42">
        <v>14.920759</v>
      </c>
      <c r="BA42">
        <v>122341716</v>
      </c>
      <c r="BB42">
        <v>17.301697000000001</v>
      </c>
      <c r="BD42">
        <v>128370231</v>
      </c>
      <c r="BE42">
        <v>15.820211</v>
      </c>
      <c r="BG42">
        <v>134398735</v>
      </c>
      <c r="BH42">
        <v>16.190601000000001</v>
      </c>
      <c r="BJ42">
        <v>140427335</v>
      </c>
      <c r="BK42">
        <v>15.820169</v>
      </c>
      <c r="BM42">
        <v>146455951</v>
      </c>
      <c r="BN42">
        <v>15.926016000000001</v>
      </c>
    </row>
    <row r="43" spans="1:66" x14ac:dyDescent="0.35">
      <c r="A43">
        <v>0.82684199999999997</v>
      </c>
      <c r="B43">
        <v>13849729</v>
      </c>
      <c r="C43">
        <v>0</v>
      </c>
      <c r="E43">
        <v>19877896</v>
      </c>
      <c r="F43">
        <v>3.3862109999999999</v>
      </c>
      <c r="H43">
        <v>25906124</v>
      </c>
      <c r="I43">
        <v>10.952425</v>
      </c>
      <c r="K43">
        <v>31934593</v>
      </c>
      <c r="L43">
        <v>10.000062</v>
      </c>
      <c r="N43">
        <v>37962934</v>
      </c>
      <c r="O43">
        <v>11.799037999999999</v>
      </c>
      <c r="Q43">
        <v>43991381</v>
      </c>
      <c r="R43">
        <v>12.539768</v>
      </c>
      <c r="T43">
        <v>50019974</v>
      </c>
      <c r="U43">
        <v>13.492155</v>
      </c>
      <c r="W43">
        <v>56048516</v>
      </c>
      <c r="X43">
        <v>14.232874000000001</v>
      </c>
      <c r="Z43">
        <v>62076980</v>
      </c>
      <c r="AA43">
        <v>14.285814999999999</v>
      </c>
      <c r="AC43">
        <v>68105379</v>
      </c>
      <c r="AD43">
        <v>18.095355999999999</v>
      </c>
      <c r="AF43">
        <v>74133878</v>
      </c>
      <c r="AG43">
        <v>14.920733999999999</v>
      </c>
      <c r="AI43">
        <v>80162373</v>
      </c>
      <c r="AJ43">
        <v>16.825512</v>
      </c>
      <c r="AL43">
        <v>86190856</v>
      </c>
      <c r="AM43">
        <v>15.34402</v>
      </c>
      <c r="AO43">
        <v>92219435</v>
      </c>
      <c r="AP43">
        <v>15.291098</v>
      </c>
      <c r="AR43">
        <v>104276451</v>
      </c>
      <c r="AS43">
        <v>15.555643999999999</v>
      </c>
      <c r="AU43">
        <v>110304886</v>
      </c>
      <c r="AV43">
        <v>15.767264000000001</v>
      </c>
      <c r="AX43">
        <v>116333380</v>
      </c>
      <c r="AY43">
        <v>15.555668000000001</v>
      </c>
      <c r="BA43">
        <v>122361877</v>
      </c>
      <c r="BB43">
        <v>15.978939</v>
      </c>
      <c r="BD43">
        <v>128390391</v>
      </c>
      <c r="BE43">
        <v>15.820217</v>
      </c>
      <c r="BG43">
        <v>134418890</v>
      </c>
      <c r="BH43">
        <v>16.137671999999998</v>
      </c>
      <c r="BJ43">
        <v>140447501</v>
      </c>
      <c r="BK43">
        <v>15.820169</v>
      </c>
      <c r="BM43">
        <v>146476104</v>
      </c>
      <c r="BN43">
        <v>15.978945</v>
      </c>
    </row>
    <row r="44" spans="1:66" x14ac:dyDescent="0.35">
      <c r="A44">
        <v>0.84699899999999995</v>
      </c>
      <c r="B44">
        <v>13869886</v>
      </c>
      <c r="C44">
        <v>0</v>
      </c>
      <c r="E44">
        <v>19898052</v>
      </c>
      <c r="F44">
        <v>3.5449980000000001</v>
      </c>
      <c r="H44">
        <v>25926283</v>
      </c>
      <c r="I44">
        <v>7.354546</v>
      </c>
      <c r="K44">
        <v>31954750</v>
      </c>
      <c r="L44">
        <v>10.052991</v>
      </c>
      <c r="N44">
        <v>37983092</v>
      </c>
      <c r="O44">
        <v>11.799026</v>
      </c>
      <c r="Q44">
        <v>44011547</v>
      </c>
      <c r="R44">
        <v>10.899544000000001</v>
      </c>
      <c r="T44">
        <v>50040126</v>
      </c>
      <c r="U44">
        <v>13.333415</v>
      </c>
      <c r="W44">
        <v>56068675</v>
      </c>
      <c r="X44">
        <v>13.862513999999999</v>
      </c>
      <c r="Z44">
        <v>62097141</v>
      </c>
      <c r="AA44">
        <v>14.179981</v>
      </c>
      <c r="AC44">
        <v>68125539</v>
      </c>
      <c r="AD44">
        <v>14.391624999999999</v>
      </c>
      <c r="AF44">
        <v>74154038</v>
      </c>
      <c r="AG44">
        <v>15.185290999999999</v>
      </c>
      <c r="AI44">
        <v>80182540</v>
      </c>
      <c r="AJ44">
        <v>12.804320000000001</v>
      </c>
      <c r="AL44">
        <v>86211016</v>
      </c>
      <c r="AM44">
        <v>17.407527999999999</v>
      </c>
      <c r="AO44">
        <v>92239598</v>
      </c>
      <c r="AP44">
        <v>15.396941</v>
      </c>
      <c r="AR44">
        <v>104296631</v>
      </c>
      <c r="AS44">
        <v>14.973663999999999</v>
      </c>
      <c r="AU44">
        <v>110325057</v>
      </c>
      <c r="AV44">
        <v>15.714359</v>
      </c>
      <c r="AX44">
        <v>116353540</v>
      </c>
      <c r="AY44">
        <v>18.201160000000002</v>
      </c>
      <c r="BA44">
        <v>122382040</v>
      </c>
      <c r="BB44">
        <v>15.873122</v>
      </c>
      <c r="BD44">
        <v>128410554</v>
      </c>
      <c r="BE44">
        <v>15.344023999999999</v>
      </c>
      <c r="BG44">
        <v>134439058</v>
      </c>
      <c r="BH44">
        <v>16.137720000000002</v>
      </c>
      <c r="BJ44">
        <v>140467669</v>
      </c>
      <c r="BK44">
        <v>16.402221999999998</v>
      </c>
      <c r="BM44">
        <v>146496265</v>
      </c>
      <c r="BN44">
        <v>15.714383</v>
      </c>
    </row>
    <row r="45" spans="1:66" x14ac:dyDescent="0.35">
      <c r="A45">
        <v>0.86714899999999995</v>
      </c>
      <c r="B45">
        <v>13890036</v>
      </c>
      <c r="C45">
        <v>0</v>
      </c>
      <c r="E45">
        <v>19918209</v>
      </c>
      <c r="H45">
        <v>25946467</v>
      </c>
      <c r="I45">
        <v>6.0317990000000004</v>
      </c>
      <c r="K45">
        <v>31974904</v>
      </c>
      <c r="L45">
        <v>10.158801</v>
      </c>
      <c r="N45">
        <v>38003249</v>
      </c>
      <c r="O45">
        <v>11.904847999999999</v>
      </c>
      <c r="Q45">
        <v>44031701</v>
      </c>
      <c r="R45">
        <v>12.592649</v>
      </c>
      <c r="T45">
        <v>50060328</v>
      </c>
      <c r="U45">
        <v>15.238193000000001</v>
      </c>
      <c r="W45">
        <v>56088833</v>
      </c>
      <c r="X45">
        <v>14.021254000000001</v>
      </c>
      <c r="Z45">
        <v>62117301</v>
      </c>
      <c r="AA45">
        <v>14.179993</v>
      </c>
      <c r="AC45">
        <v>68145692</v>
      </c>
      <c r="AD45">
        <v>14.444518</v>
      </c>
      <c r="AF45">
        <v>74174193</v>
      </c>
      <c r="AG45">
        <v>14.762003</v>
      </c>
      <c r="AI45">
        <v>80202695</v>
      </c>
      <c r="AJ45">
        <v>15.132389</v>
      </c>
      <c r="AL45">
        <v>86231217</v>
      </c>
      <c r="AM45">
        <v>10.687912000000001</v>
      </c>
      <c r="AO45">
        <v>92259757</v>
      </c>
      <c r="AP45">
        <v>14.973653000000001</v>
      </c>
      <c r="AR45">
        <v>104316786</v>
      </c>
      <c r="AS45">
        <v>15.291095</v>
      </c>
      <c r="AU45">
        <v>110345218</v>
      </c>
      <c r="AV45">
        <v>15.608573</v>
      </c>
      <c r="AX45">
        <v>116373696</v>
      </c>
      <c r="AY45">
        <v>18.201160000000002</v>
      </c>
      <c r="BA45">
        <v>122402199</v>
      </c>
      <c r="BB45">
        <v>16.031842999999999</v>
      </c>
      <c r="BD45">
        <v>128430706</v>
      </c>
      <c r="BE45">
        <v>15.608549</v>
      </c>
      <c r="BG45">
        <v>134459216</v>
      </c>
      <c r="BH45">
        <v>16.084719</v>
      </c>
      <c r="BJ45">
        <v>140487829</v>
      </c>
      <c r="BK45">
        <v>16.349314</v>
      </c>
      <c r="BM45">
        <v>146516425</v>
      </c>
      <c r="BN45">
        <v>17.407513000000002</v>
      </c>
    </row>
    <row r="46" spans="1:66" x14ac:dyDescent="0.35">
      <c r="A46">
        <v>0.88730100000000001</v>
      </c>
      <c r="B46">
        <v>13910188</v>
      </c>
      <c r="C46">
        <v>0</v>
      </c>
      <c r="E46">
        <v>19938367</v>
      </c>
      <c r="F46">
        <v>3.3862589999999999</v>
      </c>
      <c r="H46">
        <v>25966626</v>
      </c>
      <c r="I46">
        <v>7.5132849999999998</v>
      </c>
      <c r="K46">
        <v>31995060</v>
      </c>
      <c r="L46">
        <v>10.370445</v>
      </c>
      <c r="N46">
        <v>38023404</v>
      </c>
      <c r="O46">
        <v>11.904847999999999</v>
      </c>
      <c r="Q46">
        <v>44051857</v>
      </c>
      <c r="R46">
        <v>12.486863</v>
      </c>
      <c r="T46">
        <v>50080488</v>
      </c>
      <c r="U46">
        <v>13.439241000000001</v>
      </c>
      <c r="W46">
        <v>56109031</v>
      </c>
      <c r="X46">
        <v>11.746119999999999</v>
      </c>
      <c r="Z46">
        <v>62137459</v>
      </c>
      <c r="AA46">
        <v>13.968301</v>
      </c>
      <c r="AC46">
        <v>68165873</v>
      </c>
      <c r="AD46">
        <v>14.391636999999999</v>
      </c>
      <c r="AF46">
        <v>74194378</v>
      </c>
      <c r="AG46">
        <v>14.814908000000001</v>
      </c>
      <c r="AI46">
        <v>80222847</v>
      </c>
      <c r="AJ46">
        <v>14.973635</v>
      </c>
      <c r="AL46">
        <v>86251404</v>
      </c>
      <c r="AM46">
        <v>15.396929</v>
      </c>
      <c r="AO46">
        <v>92279952</v>
      </c>
      <c r="AP46">
        <v>13.174701000000001</v>
      </c>
      <c r="AR46">
        <v>104336979</v>
      </c>
      <c r="AS46">
        <v>14.232898</v>
      </c>
      <c r="AU46">
        <v>110365372</v>
      </c>
      <c r="AV46">
        <v>15.132332</v>
      </c>
      <c r="AX46">
        <v>116393863</v>
      </c>
      <c r="AY46">
        <v>15.873122</v>
      </c>
      <c r="BA46">
        <v>122422392</v>
      </c>
      <c r="BB46">
        <v>15.555675000000001</v>
      </c>
      <c r="BD46">
        <v>128450876</v>
      </c>
      <c r="BE46">
        <v>16.402221999999998</v>
      </c>
      <c r="BG46">
        <v>134479372</v>
      </c>
      <c r="BH46">
        <v>15.873098000000001</v>
      </c>
      <c r="BJ46">
        <v>140508020</v>
      </c>
      <c r="BK46">
        <v>16.45513</v>
      </c>
      <c r="BM46">
        <v>146536619</v>
      </c>
      <c r="BN46">
        <v>14.444566</v>
      </c>
    </row>
    <row r="47" spans="1:66" x14ac:dyDescent="0.35">
      <c r="A47">
        <v>0.90744999999999998</v>
      </c>
      <c r="B47">
        <v>13930337</v>
      </c>
      <c r="C47">
        <v>0</v>
      </c>
      <c r="E47">
        <v>19958526</v>
      </c>
      <c r="F47">
        <v>3.3862589999999999</v>
      </c>
      <c r="H47">
        <v>25986812</v>
      </c>
      <c r="I47">
        <v>7.5132849999999998</v>
      </c>
      <c r="K47">
        <v>32015225</v>
      </c>
      <c r="L47">
        <v>9.6296789999999994</v>
      </c>
      <c r="N47">
        <v>38043557</v>
      </c>
      <c r="O47">
        <v>11.693192</v>
      </c>
      <c r="Q47">
        <v>44072017</v>
      </c>
      <c r="R47">
        <v>12.433934000000001</v>
      </c>
      <c r="T47">
        <v>50100643</v>
      </c>
      <c r="U47">
        <v>13.121781</v>
      </c>
      <c r="W47">
        <v>56129196</v>
      </c>
      <c r="X47">
        <v>13.015938</v>
      </c>
      <c r="Z47">
        <v>62157629</v>
      </c>
      <c r="AA47">
        <v>14.391613</v>
      </c>
      <c r="AC47">
        <v>68186028</v>
      </c>
      <c r="AD47">
        <v>17.88373</v>
      </c>
      <c r="AF47">
        <v>74214541</v>
      </c>
      <c r="AG47">
        <v>11.904847999999999</v>
      </c>
      <c r="AI47">
        <v>80243012</v>
      </c>
      <c r="AJ47">
        <v>17.566262999999999</v>
      </c>
      <c r="AL47">
        <v>86271585</v>
      </c>
      <c r="AM47">
        <v>15.185297</v>
      </c>
      <c r="AO47">
        <v>92300112</v>
      </c>
      <c r="AP47">
        <v>15.555656000000001</v>
      </c>
      <c r="AR47">
        <v>104357133</v>
      </c>
      <c r="AS47">
        <v>15.714407</v>
      </c>
      <c r="AU47">
        <v>110385533</v>
      </c>
      <c r="AV47">
        <v>13.862513999999999</v>
      </c>
      <c r="AX47">
        <v>116414024</v>
      </c>
      <c r="AY47">
        <v>16.13768</v>
      </c>
      <c r="BA47">
        <v>122442561</v>
      </c>
      <c r="BB47">
        <v>13.492167</v>
      </c>
      <c r="BD47">
        <v>128471035</v>
      </c>
      <c r="BE47">
        <v>15.714359</v>
      </c>
      <c r="BG47">
        <v>134499575</v>
      </c>
      <c r="BH47">
        <v>13.492107000000001</v>
      </c>
      <c r="BJ47">
        <v>140528176</v>
      </c>
      <c r="BK47">
        <v>16.45513</v>
      </c>
      <c r="BM47">
        <v>146556787</v>
      </c>
      <c r="BN47">
        <v>16.084765999999998</v>
      </c>
    </row>
    <row r="48" spans="1:66" x14ac:dyDescent="0.35">
      <c r="A48">
        <v>0.92763700000000004</v>
      </c>
      <c r="B48">
        <v>13950524</v>
      </c>
      <c r="C48">
        <v>0</v>
      </c>
      <c r="E48">
        <v>19978690</v>
      </c>
      <c r="F48">
        <v>3.8095469999999998</v>
      </c>
      <c r="H48">
        <v>26006979</v>
      </c>
      <c r="I48">
        <v>7.8836440000000003</v>
      </c>
      <c r="K48">
        <v>32035376</v>
      </c>
      <c r="L48">
        <v>10.052991</v>
      </c>
      <c r="N48">
        <v>38063710</v>
      </c>
      <c r="O48">
        <v>11.587358</v>
      </c>
      <c r="Q48">
        <v>44092175</v>
      </c>
      <c r="R48">
        <v>12.169409</v>
      </c>
      <c r="T48">
        <v>50120804</v>
      </c>
      <c r="U48">
        <v>13.121778000000001</v>
      </c>
      <c r="W48">
        <v>56149346</v>
      </c>
      <c r="X48">
        <v>13.968372</v>
      </c>
      <c r="Z48">
        <v>62177785</v>
      </c>
      <c r="AA48">
        <v>14.444566</v>
      </c>
      <c r="AC48">
        <v>68206199</v>
      </c>
      <c r="AD48">
        <v>14.444566</v>
      </c>
      <c r="AF48">
        <v>74234701</v>
      </c>
      <c r="AG48">
        <v>14.497446999999999</v>
      </c>
      <c r="AI48">
        <v>80263168</v>
      </c>
      <c r="AJ48">
        <v>14.656174999999999</v>
      </c>
      <c r="AL48">
        <v>86291770</v>
      </c>
      <c r="AM48">
        <v>13.01595</v>
      </c>
      <c r="AO48">
        <v>92320270</v>
      </c>
      <c r="AP48">
        <v>15.238189999999999</v>
      </c>
      <c r="AR48">
        <v>104377297</v>
      </c>
      <c r="AS48">
        <v>15.449809999999999</v>
      </c>
      <c r="AU48">
        <v>110405693</v>
      </c>
      <c r="AV48">
        <v>15.502787</v>
      </c>
      <c r="AX48">
        <v>116434197</v>
      </c>
      <c r="AY48">
        <v>16.13768</v>
      </c>
      <c r="BA48">
        <v>122462724</v>
      </c>
      <c r="BB48">
        <v>15.926016000000001</v>
      </c>
      <c r="BD48">
        <v>128491196</v>
      </c>
      <c r="BE48">
        <v>15.767312</v>
      </c>
      <c r="BG48">
        <v>134519735</v>
      </c>
      <c r="BH48">
        <v>15.661478000000001</v>
      </c>
      <c r="BJ48">
        <v>140548346</v>
      </c>
      <c r="BK48">
        <v>15.820206000000001</v>
      </c>
      <c r="BM48">
        <v>146576950</v>
      </c>
      <c r="BN48">
        <v>16.296412</v>
      </c>
    </row>
    <row r="49" spans="1:66" x14ac:dyDescent="0.35">
      <c r="A49">
        <v>0.94779199999999997</v>
      </c>
      <c r="B49">
        <v>13970679</v>
      </c>
      <c r="C49">
        <v>0</v>
      </c>
      <c r="E49">
        <v>19998846</v>
      </c>
      <c r="F49">
        <v>7.3016350000000001</v>
      </c>
      <c r="H49">
        <v>26027132</v>
      </c>
      <c r="I49">
        <v>7.7778280000000004</v>
      </c>
      <c r="K49">
        <v>32055531</v>
      </c>
      <c r="L49">
        <v>10.158777000000001</v>
      </c>
      <c r="N49">
        <v>38083876</v>
      </c>
      <c r="O49">
        <v>9.0476989999999997</v>
      </c>
      <c r="Q49">
        <v>44112329</v>
      </c>
      <c r="R49">
        <v>11.322832</v>
      </c>
      <c r="T49">
        <v>50140959</v>
      </c>
      <c r="U49">
        <v>15.661478000000001</v>
      </c>
      <c r="W49">
        <v>56169509</v>
      </c>
      <c r="X49">
        <v>13.809585999999999</v>
      </c>
      <c r="Z49">
        <v>62197934</v>
      </c>
      <c r="AA49">
        <v>14.232922</v>
      </c>
      <c r="AC49">
        <v>68226358</v>
      </c>
      <c r="AD49">
        <v>14.656186</v>
      </c>
      <c r="AF49">
        <v>74254869</v>
      </c>
      <c r="AG49">
        <v>14.656174999999999</v>
      </c>
      <c r="AI49">
        <v>80283330</v>
      </c>
      <c r="AJ49">
        <v>14.656199000000001</v>
      </c>
      <c r="AL49">
        <v>86311927</v>
      </c>
      <c r="AM49">
        <v>14.97364</v>
      </c>
      <c r="AO49">
        <v>92340428</v>
      </c>
      <c r="AP49">
        <v>15.079451000000001</v>
      </c>
      <c r="AR49">
        <v>104397455</v>
      </c>
      <c r="AS49">
        <v>15.185261000000001</v>
      </c>
      <c r="AU49">
        <v>110425851</v>
      </c>
      <c r="AV49">
        <v>15.502787</v>
      </c>
      <c r="AX49">
        <v>116454352</v>
      </c>
      <c r="AY49">
        <v>13.650884</v>
      </c>
      <c r="BA49">
        <v>122482879</v>
      </c>
      <c r="BB49">
        <v>15.820217</v>
      </c>
      <c r="BD49">
        <v>128511383</v>
      </c>
      <c r="BE49">
        <v>15.926050999999999</v>
      </c>
      <c r="BG49">
        <v>134539893</v>
      </c>
      <c r="BH49">
        <v>15.661478000000001</v>
      </c>
      <c r="BJ49">
        <v>140568502</v>
      </c>
      <c r="BK49">
        <v>16.190577000000001</v>
      </c>
      <c r="BM49">
        <v>146597108</v>
      </c>
      <c r="BN49">
        <v>16.296412</v>
      </c>
    </row>
    <row r="50" spans="1:66" x14ac:dyDescent="0.35">
      <c r="A50">
        <v>0.96794400000000003</v>
      </c>
      <c r="B50">
        <v>13990831</v>
      </c>
      <c r="C50">
        <v>0</v>
      </c>
      <c r="E50">
        <v>20019000</v>
      </c>
      <c r="F50">
        <v>3.7037249999999999</v>
      </c>
      <c r="H50">
        <v>26047289</v>
      </c>
      <c r="I50">
        <v>8.0952940000000009</v>
      </c>
      <c r="K50">
        <v>32075685</v>
      </c>
      <c r="L50">
        <v>10.423325999999999</v>
      </c>
      <c r="N50">
        <v>38104027</v>
      </c>
      <c r="O50">
        <v>11.693192</v>
      </c>
      <c r="Q50">
        <v>44132498</v>
      </c>
      <c r="R50">
        <v>12.328148000000001</v>
      </c>
      <c r="T50">
        <v>50161115</v>
      </c>
      <c r="U50">
        <v>13.386333</v>
      </c>
      <c r="W50">
        <v>56189672</v>
      </c>
      <c r="X50">
        <v>13.809585999999999</v>
      </c>
      <c r="Z50">
        <v>62218096</v>
      </c>
      <c r="AA50">
        <v>14.180016999999999</v>
      </c>
      <c r="AC50">
        <v>68246514</v>
      </c>
      <c r="AD50">
        <v>14.656186</v>
      </c>
      <c r="AF50">
        <v>74275053</v>
      </c>
      <c r="AG50">
        <v>14.603256999999999</v>
      </c>
      <c r="AI50">
        <v>80303496</v>
      </c>
      <c r="AJ50">
        <v>15.132391999999999</v>
      </c>
      <c r="AL50">
        <v>86332087</v>
      </c>
      <c r="AM50">
        <v>14.86783</v>
      </c>
      <c r="AO50">
        <v>92360590</v>
      </c>
      <c r="AP50">
        <v>15.555643999999999</v>
      </c>
      <c r="AR50">
        <v>104417611</v>
      </c>
      <c r="AS50">
        <v>14.97364</v>
      </c>
      <c r="AU50">
        <v>110446019</v>
      </c>
      <c r="AV50">
        <v>15.873122</v>
      </c>
      <c r="AX50">
        <v>116474505</v>
      </c>
      <c r="AY50">
        <v>15.291098</v>
      </c>
      <c r="BA50">
        <v>122503041</v>
      </c>
      <c r="BB50">
        <v>15.767288000000001</v>
      </c>
      <c r="BD50">
        <v>128531547</v>
      </c>
      <c r="BE50">
        <v>15.820217</v>
      </c>
      <c r="BG50">
        <v>134560067</v>
      </c>
      <c r="BH50">
        <v>17.724985</v>
      </c>
      <c r="BJ50">
        <v>140588660</v>
      </c>
      <c r="BK50">
        <v>15.873111</v>
      </c>
      <c r="BM50">
        <v>146617269</v>
      </c>
      <c r="BN50">
        <v>15.926003</v>
      </c>
    </row>
    <row r="51" spans="1:66" x14ac:dyDescent="0.35">
      <c r="A51">
        <v>0.98811700000000002</v>
      </c>
      <c r="B51">
        <v>14011004</v>
      </c>
      <c r="C51">
        <v>0</v>
      </c>
      <c r="E51">
        <v>20039156</v>
      </c>
      <c r="F51">
        <v>3.7566359999999999</v>
      </c>
      <c r="H51">
        <v>26067456</v>
      </c>
      <c r="I51">
        <v>9.6296970000000002</v>
      </c>
      <c r="K51">
        <v>32095841</v>
      </c>
      <c r="L51">
        <v>10.423349999999999</v>
      </c>
      <c r="N51">
        <v>38124177</v>
      </c>
      <c r="O51">
        <v>11.640286</v>
      </c>
      <c r="Q51">
        <v>44152688</v>
      </c>
      <c r="R51">
        <v>10.423325999999999</v>
      </c>
      <c r="T51">
        <v>50181278</v>
      </c>
      <c r="U51">
        <v>13.121784</v>
      </c>
      <c r="W51">
        <v>56209829</v>
      </c>
      <c r="X51">
        <v>14.179987000000001</v>
      </c>
      <c r="Z51">
        <v>62238251</v>
      </c>
      <c r="AA51">
        <v>14.127064000000001</v>
      </c>
      <c r="AC51">
        <v>68266676</v>
      </c>
      <c r="AF51">
        <v>74295210</v>
      </c>
      <c r="AG51">
        <v>14.814878</v>
      </c>
      <c r="AI51">
        <v>80323654</v>
      </c>
      <c r="AJ51">
        <v>18.254114000000001</v>
      </c>
      <c r="AL51">
        <v>86352254</v>
      </c>
      <c r="AM51">
        <v>15.079473999999999</v>
      </c>
      <c r="AO51">
        <v>92380752</v>
      </c>
      <c r="AP51">
        <v>15.396905</v>
      </c>
      <c r="AR51">
        <v>104437774</v>
      </c>
      <c r="AS51">
        <v>14.44459</v>
      </c>
      <c r="AU51">
        <v>110466206</v>
      </c>
      <c r="AV51">
        <v>15.873119000000001</v>
      </c>
      <c r="AX51">
        <v>116494667</v>
      </c>
      <c r="AY51">
        <v>15.767306</v>
      </c>
      <c r="BA51">
        <v>122523228</v>
      </c>
      <c r="BB51">
        <v>15.343999999999999</v>
      </c>
      <c r="BD51">
        <v>128551713</v>
      </c>
      <c r="BE51">
        <v>16.031815000000002</v>
      </c>
      <c r="BG51">
        <v>134580221</v>
      </c>
      <c r="BH51">
        <v>15.926037000000001</v>
      </c>
      <c r="BJ51">
        <v>140608818</v>
      </c>
      <c r="BK51">
        <v>15.873111</v>
      </c>
      <c r="BM51">
        <v>146637426</v>
      </c>
      <c r="BN51">
        <v>16.084765999999998</v>
      </c>
    </row>
    <row r="52" spans="1:66" x14ac:dyDescent="0.35">
      <c r="A52">
        <v>1.00827</v>
      </c>
      <c r="B52">
        <v>14031157</v>
      </c>
      <c r="C52">
        <v>0</v>
      </c>
      <c r="E52">
        <v>20059310</v>
      </c>
      <c r="F52">
        <v>3.7037249999999999</v>
      </c>
      <c r="H52">
        <v>26087618</v>
      </c>
      <c r="I52">
        <v>7.8836529999999998</v>
      </c>
      <c r="K52">
        <v>32115998</v>
      </c>
      <c r="L52">
        <v>10.264587000000001</v>
      </c>
      <c r="N52">
        <v>38144340</v>
      </c>
      <c r="O52">
        <v>11.481547000000001</v>
      </c>
      <c r="Q52">
        <v>44172850</v>
      </c>
      <c r="R52">
        <v>10.423325999999999</v>
      </c>
      <c r="T52">
        <v>50201436</v>
      </c>
      <c r="U52">
        <v>13.597977999999999</v>
      </c>
      <c r="W52">
        <v>56229997</v>
      </c>
      <c r="X52">
        <v>13.862527</v>
      </c>
      <c r="Z52">
        <v>62258410</v>
      </c>
      <c r="AA52">
        <v>14.179993</v>
      </c>
      <c r="AC52">
        <v>68286833</v>
      </c>
      <c r="AD52">
        <v>14.338708</v>
      </c>
      <c r="AF52">
        <v>74315369</v>
      </c>
      <c r="AG52">
        <v>15.132379999999999</v>
      </c>
      <c r="AI52">
        <v>80343810</v>
      </c>
      <c r="AJ52">
        <v>14.973617000000001</v>
      </c>
      <c r="AL52">
        <v>86372413</v>
      </c>
      <c r="AM52">
        <v>15.343999999999999</v>
      </c>
      <c r="AO52">
        <v>92400918</v>
      </c>
      <c r="AP52">
        <v>15.132403</v>
      </c>
      <c r="AR52">
        <v>104457938</v>
      </c>
      <c r="AS52">
        <v>15.449809999999999</v>
      </c>
      <c r="AU52">
        <v>110486369</v>
      </c>
      <c r="AV52">
        <v>13.280511000000001</v>
      </c>
      <c r="AX52">
        <v>116514830</v>
      </c>
      <c r="AY52">
        <v>15.767306</v>
      </c>
      <c r="BA52">
        <v>122543391</v>
      </c>
      <c r="BB52">
        <v>15.291095</v>
      </c>
      <c r="BD52">
        <v>128571876</v>
      </c>
      <c r="BE52">
        <v>15.873122</v>
      </c>
      <c r="BG52">
        <v>134600379</v>
      </c>
      <c r="BH52">
        <v>15.873122</v>
      </c>
      <c r="BJ52">
        <v>140628978</v>
      </c>
      <c r="BK52">
        <v>16.137671999999998</v>
      </c>
      <c r="BM52">
        <v>146657600</v>
      </c>
      <c r="BN52">
        <v>15.714383</v>
      </c>
    </row>
    <row r="53" spans="1:66" x14ac:dyDescent="0.35">
      <c r="F53" t="s">
        <v>2</v>
      </c>
      <c r="I53" t="s">
        <v>3</v>
      </c>
      <c r="L53" t="s">
        <v>4</v>
      </c>
      <c r="O53" t="s">
        <v>5</v>
      </c>
      <c r="R53" t="s">
        <v>6</v>
      </c>
      <c r="U53" t="s">
        <v>7</v>
      </c>
      <c r="X53" t="s">
        <v>8</v>
      </c>
      <c r="AA53" t="s">
        <v>9</v>
      </c>
      <c r="AD53" t="s">
        <v>10</v>
      </c>
      <c r="AG53" t="s">
        <v>11</v>
      </c>
      <c r="AJ53" t="s">
        <v>12</v>
      </c>
      <c r="AM53" t="s">
        <v>13</v>
      </c>
      <c r="AP53" t="s">
        <v>14</v>
      </c>
      <c r="AS53" t="s">
        <v>15</v>
      </c>
      <c r="AV53" t="s">
        <v>16</v>
      </c>
      <c r="AY53" t="s">
        <v>17</v>
      </c>
      <c r="BB53" t="s">
        <v>18</v>
      </c>
      <c r="BE53" t="s">
        <v>19</v>
      </c>
      <c r="BH53" t="s">
        <v>20</v>
      </c>
      <c r="BK53" t="s">
        <v>21</v>
      </c>
      <c r="BN53" t="s">
        <v>22</v>
      </c>
    </row>
    <row r="54" spans="1:66" x14ac:dyDescent="0.35">
      <c r="F54">
        <v>3.465635893</v>
      </c>
      <c r="I54">
        <v>7.479963111</v>
      </c>
      <c r="L54">
        <v>9.8395106549999998</v>
      </c>
      <c r="O54">
        <v>11.470611829999999</v>
      </c>
      <c r="R54">
        <v>12.19492614</v>
      </c>
      <c r="U54">
        <v>13.444714380000001</v>
      </c>
      <c r="X54">
        <v>13.650883309999999</v>
      </c>
      <c r="AA54">
        <v>14.211004000000001</v>
      </c>
      <c r="AD54">
        <v>15.063184079999999</v>
      </c>
      <c r="AG54">
        <v>14.714564660000001</v>
      </c>
      <c r="AJ54">
        <v>15.024737930000001</v>
      </c>
      <c r="AM54">
        <v>14.98094603</v>
      </c>
      <c r="AP54">
        <v>15.053917139999999</v>
      </c>
      <c r="AS54">
        <v>15.43523497</v>
      </c>
      <c r="AV54">
        <v>15.21629824</v>
      </c>
      <c r="AY54">
        <v>15.66147831</v>
      </c>
      <c r="BB54">
        <v>15.79831779</v>
      </c>
      <c r="BE54">
        <v>15.81838434</v>
      </c>
      <c r="BH54">
        <v>15.86034903</v>
      </c>
      <c r="BK54">
        <v>16.07381062</v>
      </c>
      <c r="BN54">
        <v>16.18146162</v>
      </c>
    </row>
    <row r="57" spans="1:66" x14ac:dyDescent="0.35">
      <c r="K57" t="s">
        <v>23</v>
      </c>
      <c r="L57" t="s">
        <v>36</v>
      </c>
      <c r="M57" t="s">
        <v>37</v>
      </c>
    </row>
    <row r="58" spans="1:66" x14ac:dyDescent="0.35">
      <c r="K58">
        <v>0.5</v>
      </c>
      <c r="L58">
        <f>F54</f>
        <v>3.465635893</v>
      </c>
      <c r="M58">
        <v>0.94</v>
      </c>
      <c r="AH58" t="s">
        <v>24</v>
      </c>
    </row>
    <row r="59" spans="1:66" x14ac:dyDescent="0.35">
      <c r="K59">
        <v>0.75</v>
      </c>
      <c r="L59">
        <f>I54</f>
        <v>7.479963111</v>
      </c>
      <c r="AH59" t="s">
        <v>25</v>
      </c>
      <c r="AI59" t="s">
        <v>26</v>
      </c>
    </row>
    <row r="60" spans="1:66" x14ac:dyDescent="0.35">
      <c r="K60">
        <v>1</v>
      </c>
      <c r="L60">
        <f>L54</f>
        <v>9.8395106549999998</v>
      </c>
      <c r="M60">
        <v>2.2000000000000002</v>
      </c>
    </row>
    <row r="61" spans="1:66" x14ac:dyDescent="0.35">
      <c r="K61">
        <v>1.25</v>
      </c>
      <c r="L61">
        <f>O54</f>
        <v>11.470611829999999</v>
      </c>
      <c r="AG61">
        <f t="shared" ref="AG61:AG92" si="0">AF2</f>
        <v>73307180</v>
      </c>
      <c r="AH61">
        <v>0</v>
      </c>
      <c r="AI61">
        <f>AG2</f>
        <v>0.52910999999999997</v>
      </c>
    </row>
    <row r="62" spans="1:66" x14ac:dyDescent="0.35">
      <c r="K62">
        <v>1.5</v>
      </c>
      <c r="L62">
        <f>R54</f>
        <v>12.19492614</v>
      </c>
      <c r="M62">
        <v>3.9</v>
      </c>
      <c r="AG62">
        <f t="shared" si="0"/>
        <v>73327334</v>
      </c>
      <c r="AH62">
        <f t="shared" ref="AH62:AH110" si="1">AH61+(AG63-AG62)/1000000</f>
        <v>2.0157999999999999E-2</v>
      </c>
      <c r="AI62">
        <f t="shared" ref="AI62" si="2">AG3</f>
        <v>3.9682979999999999</v>
      </c>
    </row>
    <row r="63" spans="1:66" x14ac:dyDescent="0.35">
      <c r="K63">
        <v>1.75</v>
      </c>
      <c r="L63">
        <f>U54</f>
        <v>13.444714380000001</v>
      </c>
      <c r="AG63">
        <f t="shared" si="0"/>
        <v>73347492</v>
      </c>
      <c r="AH63">
        <f>AH62+(AG64-AG63)/1000000</f>
        <v>4.0318999999999994E-2</v>
      </c>
    </row>
    <row r="64" spans="1:66" x14ac:dyDescent="0.35">
      <c r="K64">
        <v>2</v>
      </c>
      <c r="L64">
        <f>X54</f>
        <v>13.650883309999999</v>
      </c>
      <c r="M64">
        <v>5.2</v>
      </c>
      <c r="AG64">
        <f t="shared" si="0"/>
        <v>73367653</v>
      </c>
      <c r="AH64">
        <f t="shared" si="1"/>
        <v>6.047799999999999E-2</v>
      </c>
      <c r="AI64">
        <f t="shared" ref="AI64" si="3">AG5</f>
        <v>8.6243870000000005</v>
      </c>
    </row>
    <row r="65" spans="3:35" x14ac:dyDescent="0.35">
      <c r="K65">
        <v>2.25</v>
      </c>
      <c r="L65">
        <f>AA54</f>
        <v>14.211004000000001</v>
      </c>
      <c r="AG65">
        <f t="shared" si="0"/>
        <v>73387812</v>
      </c>
      <c r="AH65">
        <f t="shared" si="1"/>
        <v>8.0628999999999992E-2</v>
      </c>
      <c r="AI65">
        <f t="shared" ref="AI65" si="4">AG6</f>
        <v>10.15879</v>
      </c>
    </row>
    <row r="66" spans="3:35" x14ac:dyDescent="0.35">
      <c r="K66">
        <v>2.5</v>
      </c>
      <c r="L66">
        <f>AD54</f>
        <v>15.063184079999999</v>
      </c>
      <c r="M66">
        <v>6.4</v>
      </c>
      <c r="AG66">
        <f t="shared" si="0"/>
        <v>73407963</v>
      </c>
      <c r="AH66">
        <f t="shared" si="1"/>
        <v>0.10079299999999999</v>
      </c>
      <c r="AI66">
        <f t="shared" ref="AI66" si="5">AG7</f>
        <v>11.322844999999999</v>
      </c>
    </row>
    <row r="67" spans="3:35" x14ac:dyDescent="0.35">
      <c r="K67">
        <v>2.75</v>
      </c>
      <c r="L67">
        <f>AG54</f>
        <v>14.714564660000001</v>
      </c>
      <c r="AG67">
        <f t="shared" si="0"/>
        <v>73428127</v>
      </c>
      <c r="AH67">
        <f t="shared" si="1"/>
        <v>0.12097999999999999</v>
      </c>
      <c r="AI67">
        <f t="shared" ref="AI67" si="6">AG8</f>
        <v>11.904836</v>
      </c>
    </row>
    <row r="68" spans="3:35" x14ac:dyDescent="0.35">
      <c r="K68">
        <v>3</v>
      </c>
      <c r="L68">
        <f>AJ54</f>
        <v>15.024737930000001</v>
      </c>
      <c r="M68">
        <v>8.1</v>
      </c>
      <c r="AG68">
        <f t="shared" si="0"/>
        <v>73448314</v>
      </c>
      <c r="AH68">
        <f>AH67+(AG69-AG68)/1000000</f>
        <v>0.14113699999999998</v>
      </c>
      <c r="AI68">
        <f t="shared" ref="AI68" si="7">AG9</f>
        <v>12.328099999999999</v>
      </c>
    </row>
    <row r="69" spans="3:35" x14ac:dyDescent="0.35">
      <c r="K69">
        <v>3.25</v>
      </c>
      <c r="L69">
        <f>AM54</f>
        <v>14.98094603</v>
      </c>
      <c r="AG69">
        <f t="shared" si="0"/>
        <v>73468471</v>
      </c>
      <c r="AH69">
        <f t="shared" si="1"/>
        <v>0.16132799999999997</v>
      </c>
      <c r="AI69">
        <f t="shared" ref="AI69" si="8">AG10</f>
        <v>14.550328</v>
      </c>
    </row>
    <row r="70" spans="3:35" x14ac:dyDescent="0.35">
      <c r="K70">
        <v>3.5</v>
      </c>
      <c r="L70">
        <f>AP54</f>
        <v>15.053917139999999</v>
      </c>
      <c r="M70">
        <v>8.6999999999999993</v>
      </c>
      <c r="AG70">
        <f t="shared" si="0"/>
        <v>73488662</v>
      </c>
      <c r="AH70">
        <f t="shared" si="1"/>
        <v>0.18148399999999998</v>
      </c>
      <c r="AI70">
        <f t="shared" ref="AI70" si="9">AG11</f>
        <v>11.428642</v>
      </c>
    </row>
    <row r="71" spans="3:35" x14ac:dyDescent="0.35">
      <c r="AG71">
        <f t="shared" si="0"/>
        <v>73508818</v>
      </c>
      <c r="AH71">
        <f t="shared" si="1"/>
        <v>0.20163999999999999</v>
      </c>
      <c r="AI71">
        <f t="shared" ref="AI71" si="10">AG12</f>
        <v>14.179969</v>
      </c>
    </row>
    <row r="72" spans="3:35" x14ac:dyDescent="0.35">
      <c r="K72">
        <v>4</v>
      </c>
      <c r="L72">
        <f>AV54</f>
        <v>15.21629824</v>
      </c>
      <c r="M72">
        <v>10</v>
      </c>
      <c r="AG72">
        <f t="shared" si="0"/>
        <v>73528974</v>
      </c>
      <c r="AH72">
        <f t="shared" si="1"/>
        <v>0.22180499999999997</v>
      </c>
      <c r="AI72">
        <f t="shared" ref="AI72:AI81" si="11">AG13</f>
        <v>11.904836</v>
      </c>
    </row>
    <row r="73" spans="3:35" x14ac:dyDescent="0.35">
      <c r="K73">
        <v>4.25</v>
      </c>
      <c r="L73">
        <f>AY54</f>
        <v>15.66147831</v>
      </c>
      <c r="AG73">
        <f t="shared" si="0"/>
        <v>73549139</v>
      </c>
      <c r="AH73">
        <f t="shared" si="1"/>
        <v>0.24197099999999996</v>
      </c>
      <c r="AI73">
        <f t="shared" si="11"/>
        <v>17.619157999999999</v>
      </c>
    </row>
    <row r="74" spans="3:35" x14ac:dyDescent="0.35">
      <c r="K74">
        <v>4.5</v>
      </c>
      <c r="L74">
        <f>BB54</f>
        <v>15.79831779</v>
      </c>
      <c r="M74">
        <v>11.9</v>
      </c>
      <c r="AG74">
        <f t="shared" si="0"/>
        <v>73569305</v>
      </c>
      <c r="AH74">
        <f t="shared" si="1"/>
        <v>0.26212499999999994</v>
      </c>
      <c r="AI74">
        <f t="shared" si="11"/>
        <v>14.444494000000001</v>
      </c>
    </row>
    <row r="75" spans="3:35" x14ac:dyDescent="0.35">
      <c r="K75">
        <v>4.75</v>
      </c>
      <c r="L75">
        <f>BE54</f>
        <v>15.81838434</v>
      </c>
      <c r="AG75">
        <f t="shared" si="0"/>
        <v>73589459</v>
      </c>
      <c r="AH75">
        <f t="shared" si="1"/>
        <v>0.28228699999999995</v>
      </c>
      <c r="AI75">
        <f t="shared" si="11"/>
        <v>14.550304000000001</v>
      </c>
    </row>
    <row r="76" spans="3:35" x14ac:dyDescent="0.35">
      <c r="C76" t="s">
        <v>29</v>
      </c>
      <c r="K76">
        <v>5</v>
      </c>
      <c r="L76">
        <f>BH54</f>
        <v>15.86034903</v>
      </c>
      <c r="M76">
        <v>12.4</v>
      </c>
      <c r="AG76">
        <f t="shared" si="0"/>
        <v>73609621</v>
      </c>
      <c r="AH76">
        <f t="shared" si="1"/>
        <v>0.30245399999999995</v>
      </c>
      <c r="AI76">
        <f t="shared" si="11"/>
        <v>14.391613</v>
      </c>
    </row>
    <row r="77" spans="3:35" x14ac:dyDescent="0.35">
      <c r="K77">
        <v>5.25</v>
      </c>
      <c r="L77">
        <f>BK54</f>
        <v>16.07381062</v>
      </c>
      <c r="P77" t="s">
        <v>34</v>
      </c>
      <c r="AG77">
        <f t="shared" si="0"/>
        <v>73629788</v>
      </c>
      <c r="AH77">
        <f t="shared" si="1"/>
        <v>0.32260899999999992</v>
      </c>
      <c r="AI77">
        <f t="shared" si="11"/>
        <v>14.391613</v>
      </c>
    </row>
    <row r="78" spans="3:35" x14ac:dyDescent="0.35">
      <c r="C78">
        <f>N2</f>
        <v>37136308</v>
      </c>
      <c r="D78">
        <v>0</v>
      </c>
      <c r="E78">
        <f>O2</f>
        <v>1.005298</v>
      </c>
      <c r="K78">
        <v>5.5</v>
      </c>
      <c r="L78">
        <f>BN54</f>
        <v>16.18146162</v>
      </c>
      <c r="Q78">
        <v>0</v>
      </c>
      <c r="R78">
        <v>0</v>
      </c>
      <c r="AG78">
        <f t="shared" si="0"/>
        <v>73649943</v>
      </c>
      <c r="AH78">
        <f t="shared" si="1"/>
        <v>0.34279999999999994</v>
      </c>
      <c r="AI78">
        <f t="shared" si="11"/>
        <v>14.497453999999999</v>
      </c>
    </row>
    <row r="79" spans="3:35" x14ac:dyDescent="0.35">
      <c r="C79">
        <f t="shared" ref="C79:C128" si="12">N3</f>
        <v>37156459</v>
      </c>
      <c r="D79">
        <f t="shared" ref="D79:D127" si="13">D78+(C80-C79)/1000000</f>
        <v>2.0153999999999998E-2</v>
      </c>
      <c r="P79">
        <f>Q2</f>
        <v>43164641</v>
      </c>
      <c r="Q79">
        <f>Q78+(P80-P79)/1000000</f>
        <v>2.0164999999999999E-2</v>
      </c>
      <c r="R79">
        <f>R2</f>
        <v>2.910072</v>
      </c>
      <c r="AG79">
        <f t="shared" si="0"/>
        <v>73670134</v>
      </c>
      <c r="AH79">
        <f t="shared" si="1"/>
        <v>0.36297299999999993</v>
      </c>
      <c r="AI79">
        <f t="shared" si="11"/>
        <v>14.762003</v>
      </c>
    </row>
    <row r="80" spans="3:35" x14ac:dyDescent="0.35">
      <c r="C80">
        <f t="shared" si="12"/>
        <v>37176613</v>
      </c>
      <c r="D80">
        <f t="shared" si="13"/>
        <v>4.0316999999999999E-2</v>
      </c>
      <c r="E80">
        <f t="shared" ref="E80:E128" si="14">O4</f>
        <v>3.5449950000000001</v>
      </c>
      <c r="P80">
        <f t="shared" ref="P80:P128" si="15">Q3</f>
        <v>43184806</v>
      </c>
      <c r="Q80">
        <f t="shared" ref="Q80:Q128" si="16">Q79+(P81-P80)/1000000</f>
        <v>4.0322999999999998E-2</v>
      </c>
      <c r="R80">
        <f t="shared" ref="R80:R128" si="17">R3</f>
        <v>2.4867849999999998</v>
      </c>
      <c r="AG80">
        <f t="shared" si="0"/>
        <v>73690307</v>
      </c>
      <c r="AH80">
        <f t="shared" si="1"/>
        <v>0.38312999999999992</v>
      </c>
      <c r="AI80">
        <f t="shared" si="11"/>
        <v>14.973644999999999</v>
      </c>
    </row>
    <row r="81" spans="3:35" x14ac:dyDescent="0.35">
      <c r="C81">
        <f t="shared" si="12"/>
        <v>37196776</v>
      </c>
      <c r="D81">
        <f t="shared" si="13"/>
        <v>6.0470999999999997E-2</v>
      </c>
      <c r="E81">
        <f t="shared" si="14"/>
        <v>4.4444679999999996</v>
      </c>
      <c r="P81">
        <f t="shared" si="15"/>
        <v>43204964</v>
      </c>
      <c r="Q81">
        <f t="shared" si="16"/>
        <v>6.0476999999999996E-2</v>
      </c>
      <c r="R81">
        <f t="shared" si="17"/>
        <v>3.9682789999999999</v>
      </c>
      <c r="AG81">
        <f t="shared" si="0"/>
        <v>73710464</v>
      </c>
      <c r="AH81">
        <f t="shared" si="1"/>
        <v>0.40329199999999993</v>
      </c>
      <c r="AI81">
        <f t="shared" si="11"/>
        <v>17.301701999999999</v>
      </c>
    </row>
    <row r="82" spans="3:35" x14ac:dyDescent="0.35">
      <c r="C82">
        <f t="shared" si="12"/>
        <v>37216930</v>
      </c>
      <c r="D82">
        <f t="shared" si="13"/>
        <v>8.0629999999999993E-2</v>
      </c>
      <c r="E82">
        <f t="shared" si="14"/>
        <v>5.0793980000000003</v>
      </c>
      <c r="P82">
        <f t="shared" si="15"/>
        <v>43225118</v>
      </c>
      <c r="Q82">
        <f t="shared" si="16"/>
        <v>8.0638999999999988E-2</v>
      </c>
      <c r="R82">
        <f t="shared" si="17"/>
        <v>5.0794069999999998</v>
      </c>
      <c r="AG82">
        <f t="shared" si="0"/>
        <v>73730626</v>
      </c>
      <c r="AH82">
        <f t="shared" si="1"/>
        <v>0.42345099999999991</v>
      </c>
      <c r="AI82">
        <f t="shared" ref="AI82" si="18">AG23</f>
        <v>14.867822</v>
      </c>
    </row>
    <row r="83" spans="3:35" x14ac:dyDescent="0.35">
      <c r="C83">
        <f t="shared" si="12"/>
        <v>37237089</v>
      </c>
      <c r="D83">
        <f t="shared" si="13"/>
        <v>0.10079099999999999</v>
      </c>
      <c r="P83">
        <f t="shared" si="15"/>
        <v>43245280</v>
      </c>
      <c r="Q83">
        <f t="shared" si="16"/>
        <v>0.10079899999999999</v>
      </c>
      <c r="R83">
        <f t="shared" si="17"/>
        <v>8.5714760000000005</v>
      </c>
      <c r="AG83">
        <f t="shared" si="0"/>
        <v>73750785</v>
      </c>
      <c r="AH83">
        <f t="shared" si="1"/>
        <v>0.44360499999999992</v>
      </c>
      <c r="AI83">
        <f t="shared" ref="AI83" si="19">AG24</f>
        <v>14.60327</v>
      </c>
    </row>
    <row r="84" spans="3:35" x14ac:dyDescent="0.35">
      <c r="C84">
        <f t="shared" si="12"/>
        <v>37257250</v>
      </c>
      <c r="D84">
        <f t="shared" si="13"/>
        <v>0.120945</v>
      </c>
      <c r="E84">
        <f t="shared" si="14"/>
        <v>6.5608909999999998</v>
      </c>
      <c r="P84">
        <f t="shared" si="15"/>
        <v>43265440</v>
      </c>
      <c r="Q84">
        <f t="shared" si="16"/>
        <v>0.12095599999999998</v>
      </c>
      <c r="AG84">
        <f t="shared" si="0"/>
        <v>73770939</v>
      </c>
      <c r="AH84">
        <f t="shared" si="1"/>
        <v>0.46377799999999991</v>
      </c>
      <c r="AI84">
        <f t="shared" ref="AI84" si="20">AG25</f>
        <v>14.550352</v>
      </c>
    </row>
    <row r="85" spans="3:35" x14ac:dyDescent="0.35">
      <c r="C85">
        <f t="shared" si="12"/>
        <v>37277404</v>
      </c>
      <c r="D85">
        <f t="shared" si="13"/>
        <v>0.141099</v>
      </c>
      <c r="E85">
        <f t="shared" si="14"/>
        <v>7.6190959999999999</v>
      </c>
      <c r="P85">
        <f t="shared" si="15"/>
        <v>43285597</v>
      </c>
      <c r="Q85">
        <f t="shared" si="16"/>
        <v>0.14114599999999999</v>
      </c>
      <c r="R85">
        <f t="shared" si="17"/>
        <v>7.8307450000000003</v>
      </c>
      <c r="AG85">
        <f t="shared" si="0"/>
        <v>73791112</v>
      </c>
      <c r="AH85">
        <f t="shared" si="1"/>
        <v>0.48394199999999993</v>
      </c>
      <c r="AI85">
        <f t="shared" ref="AI85" si="21">AG26</f>
        <v>15.873135</v>
      </c>
    </row>
    <row r="86" spans="3:35" x14ac:dyDescent="0.35">
      <c r="C86">
        <f t="shared" si="12"/>
        <v>37297558</v>
      </c>
      <c r="D86">
        <f t="shared" si="13"/>
        <v>0.16125500000000001</v>
      </c>
      <c r="E86">
        <f t="shared" si="14"/>
        <v>7.7778270000000003</v>
      </c>
      <c r="P86">
        <f t="shared" si="15"/>
        <v>43305787</v>
      </c>
      <c r="Q86">
        <f t="shared" si="16"/>
        <v>0.161306</v>
      </c>
      <c r="R86">
        <f t="shared" si="17"/>
        <v>8.5715000000000003</v>
      </c>
      <c r="AG86">
        <f t="shared" si="0"/>
        <v>73811276</v>
      </c>
      <c r="AH86">
        <f t="shared" si="1"/>
        <v>0.50409499999999996</v>
      </c>
      <c r="AI86">
        <f t="shared" ref="AI86" si="22">AG27</f>
        <v>14.285814999999999</v>
      </c>
    </row>
    <row r="87" spans="3:35" x14ac:dyDescent="0.35">
      <c r="C87">
        <f t="shared" si="12"/>
        <v>37317714</v>
      </c>
      <c r="D87">
        <f t="shared" si="13"/>
        <v>0.18141000000000002</v>
      </c>
      <c r="P87">
        <f t="shared" si="15"/>
        <v>43325947</v>
      </c>
      <c r="Q87">
        <f t="shared" si="16"/>
        <v>0.18146300000000001</v>
      </c>
      <c r="R87">
        <f t="shared" si="17"/>
        <v>9.9471570000000007</v>
      </c>
      <c r="AG87">
        <f t="shared" si="0"/>
        <v>73831429</v>
      </c>
      <c r="AH87">
        <f>AH86+(AG88-AG87)/1000000</f>
        <v>0.52425499999999992</v>
      </c>
      <c r="AI87">
        <f t="shared" ref="AI87" si="23">AG28</f>
        <v>14.86783</v>
      </c>
    </row>
    <row r="88" spans="3:35" x14ac:dyDescent="0.35">
      <c r="C88">
        <f t="shared" si="12"/>
        <v>37337869</v>
      </c>
      <c r="D88">
        <f t="shared" si="13"/>
        <v>0.201571</v>
      </c>
      <c r="P88">
        <f t="shared" si="15"/>
        <v>43346104</v>
      </c>
      <c r="Q88">
        <f t="shared" si="16"/>
        <v>0.20164800000000002</v>
      </c>
      <c r="R88">
        <f t="shared" si="17"/>
        <v>9.5238689999999995</v>
      </c>
      <c r="AG88">
        <f t="shared" si="0"/>
        <v>73851589</v>
      </c>
      <c r="AH88">
        <f t="shared" si="1"/>
        <v>0.5444119999999999</v>
      </c>
      <c r="AI88">
        <f t="shared" ref="AI88" si="24">AG29</f>
        <v>14.920735000000001</v>
      </c>
    </row>
    <row r="89" spans="3:35" x14ac:dyDescent="0.35">
      <c r="C89">
        <f t="shared" si="12"/>
        <v>37358030</v>
      </c>
      <c r="D89">
        <f t="shared" si="13"/>
        <v>0.22172600000000001</v>
      </c>
      <c r="E89">
        <f t="shared" si="14"/>
        <v>8.888954</v>
      </c>
      <c r="P89">
        <f t="shared" si="15"/>
        <v>43366289</v>
      </c>
      <c r="Q89">
        <f t="shared" si="16"/>
        <v>0.22180500000000003</v>
      </c>
      <c r="R89">
        <f t="shared" si="17"/>
        <v>9.6826080000000001</v>
      </c>
      <c r="AG89">
        <f t="shared" si="0"/>
        <v>73871746</v>
      </c>
      <c r="AH89">
        <f t="shared" si="1"/>
        <v>0.56457099999999993</v>
      </c>
      <c r="AI89">
        <f t="shared" ref="AI89" si="25">AG30</f>
        <v>16.084765999999998</v>
      </c>
    </row>
    <row r="90" spans="3:35" x14ac:dyDescent="0.35">
      <c r="C90">
        <f t="shared" si="12"/>
        <v>37378185</v>
      </c>
      <c r="D90">
        <f t="shared" si="13"/>
        <v>0.24190400000000001</v>
      </c>
      <c r="E90">
        <f t="shared" si="14"/>
        <v>9.4180530000000005</v>
      </c>
      <c r="P90">
        <f t="shared" si="15"/>
        <v>43386446</v>
      </c>
      <c r="Q90">
        <f t="shared" si="16"/>
        <v>0.24198900000000004</v>
      </c>
      <c r="R90">
        <f t="shared" si="17"/>
        <v>10.2646</v>
      </c>
      <c r="AG90">
        <f t="shared" si="0"/>
        <v>73891905</v>
      </c>
      <c r="AH90">
        <f t="shared" si="1"/>
        <v>0.58472499999999994</v>
      </c>
      <c r="AI90">
        <f t="shared" ref="AI90" si="26">AG31</f>
        <v>15.026593</v>
      </c>
    </row>
    <row r="91" spans="3:35" x14ac:dyDescent="0.35">
      <c r="C91">
        <f t="shared" si="12"/>
        <v>37398363</v>
      </c>
      <c r="D91">
        <f t="shared" si="13"/>
        <v>0.26206099999999999</v>
      </c>
      <c r="P91">
        <f t="shared" si="15"/>
        <v>43406630</v>
      </c>
      <c r="Q91">
        <f t="shared" si="16"/>
        <v>0.26216200000000006</v>
      </c>
      <c r="R91">
        <f t="shared" si="17"/>
        <v>10.899532000000001</v>
      </c>
      <c r="AG91">
        <f t="shared" si="0"/>
        <v>73912059</v>
      </c>
      <c r="AH91">
        <f t="shared" si="1"/>
        <v>0.60488299999999995</v>
      </c>
      <c r="AI91">
        <f t="shared" ref="AI91" si="27">AG32</f>
        <v>14.709091000000001</v>
      </c>
    </row>
    <row r="92" spans="3:35" x14ac:dyDescent="0.35">
      <c r="C92">
        <f t="shared" si="12"/>
        <v>37418520</v>
      </c>
      <c r="D92">
        <f t="shared" si="13"/>
        <v>0.28221499999999999</v>
      </c>
      <c r="E92">
        <f t="shared" si="14"/>
        <v>9.7355250000000009</v>
      </c>
      <c r="P92">
        <f t="shared" si="15"/>
        <v>43426803</v>
      </c>
      <c r="Q92">
        <f t="shared" si="16"/>
        <v>0.28231900000000004</v>
      </c>
      <c r="R92">
        <f t="shared" si="17"/>
        <v>11.111188</v>
      </c>
      <c r="AG92">
        <f t="shared" si="0"/>
        <v>73932217</v>
      </c>
      <c r="AH92">
        <f t="shared" si="1"/>
        <v>0.6250659999999999</v>
      </c>
      <c r="AI92">
        <f t="shared" ref="AI92" si="28">AG33</f>
        <v>14.709091000000001</v>
      </c>
    </row>
    <row r="93" spans="3:35" x14ac:dyDescent="0.35">
      <c r="C93">
        <f t="shared" si="12"/>
        <v>37438674</v>
      </c>
      <c r="D93">
        <f t="shared" si="13"/>
        <v>0.302373</v>
      </c>
      <c r="E93">
        <f t="shared" si="14"/>
        <v>9.9471450000000008</v>
      </c>
      <c r="P93">
        <f t="shared" si="15"/>
        <v>43446960</v>
      </c>
      <c r="Q93">
        <f t="shared" si="16"/>
        <v>0.30248100000000006</v>
      </c>
      <c r="R93">
        <f t="shared" si="17"/>
        <v>11.058282999999999</v>
      </c>
      <c r="AG93">
        <f t="shared" ref="AG93:AG111" si="29">AF34</f>
        <v>73952400</v>
      </c>
      <c r="AH93">
        <f t="shared" si="1"/>
        <v>0.64522499999999994</v>
      </c>
      <c r="AI93">
        <f t="shared" ref="AI93" si="30">AG34</f>
        <v>14.179969</v>
      </c>
    </row>
    <row r="94" spans="3:35" x14ac:dyDescent="0.35">
      <c r="C94">
        <f t="shared" si="12"/>
        <v>37458832</v>
      </c>
      <c r="D94">
        <f t="shared" si="13"/>
        <v>0.32256600000000002</v>
      </c>
      <c r="E94">
        <f t="shared" si="14"/>
        <v>10.211695000000001</v>
      </c>
      <c r="P94">
        <f t="shared" si="15"/>
        <v>43467122</v>
      </c>
      <c r="Q94">
        <f t="shared" si="16"/>
        <v>0.32264100000000007</v>
      </c>
      <c r="R94">
        <f t="shared" si="17"/>
        <v>11.322832</v>
      </c>
      <c r="U94" t="s">
        <v>27</v>
      </c>
      <c r="V94">
        <f>AVERAGE(R102:R127)</f>
        <v>12.34439519230769</v>
      </c>
      <c r="AG94">
        <f t="shared" si="29"/>
        <v>73972559</v>
      </c>
      <c r="AH94">
        <f t="shared" si="1"/>
        <v>0.66538099999999989</v>
      </c>
      <c r="AI94">
        <f t="shared" ref="AI94" si="31">AG35</f>
        <v>14.603281000000001</v>
      </c>
    </row>
    <row r="95" spans="3:35" x14ac:dyDescent="0.35">
      <c r="C95">
        <f t="shared" si="12"/>
        <v>37479025</v>
      </c>
      <c r="D95">
        <f t="shared" si="13"/>
        <v>0.342721</v>
      </c>
      <c r="P95">
        <f t="shared" si="15"/>
        <v>43487282</v>
      </c>
      <c r="Q95">
        <f t="shared" si="16"/>
        <v>0.34279400000000004</v>
      </c>
      <c r="R95">
        <f t="shared" si="17"/>
        <v>11.693192</v>
      </c>
      <c r="U95" t="s">
        <v>28</v>
      </c>
      <c r="V95">
        <f>V94*0.63</f>
        <v>7.7769689711538446</v>
      </c>
      <c r="AG95">
        <f t="shared" si="29"/>
        <v>73992715</v>
      </c>
      <c r="AH95">
        <f t="shared" si="1"/>
        <v>0.68555399999999989</v>
      </c>
      <c r="AI95">
        <f t="shared" ref="AI95" si="32">AG36</f>
        <v>14.338684000000001</v>
      </c>
    </row>
    <row r="96" spans="3:35" x14ac:dyDescent="0.35">
      <c r="C96">
        <f t="shared" si="12"/>
        <v>37499180</v>
      </c>
      <c r="D96">
        <f t="shared" si="13"/>
        <v>0.36290499999999998</v>
      </c>
      <c r="E96">
        <f t="shared" si="14"/>
        <v>10.687851999999999</v>
      </c>
      <c r="P96">
        <f t="shared" si="15"/>
        <v>43507435</v>
      </c>
      <c r="Q96">
        <f t="shared" si="16"/>
        <v>0.36295000000000005</v>
      </c>
      <c r="R96">
        <f t="shared" si="17"/>
        <v>11.746143999999999</v>
      </c>
      <c r="U96" t="s">
        <v>35</v>
      </c>
      <c r="V96">
        <v>0.12</v>
      </c>
      <c r="AG96">
        <f t="shared" si="29"/>
        <v>74012888</v>
      </c>
      <c r="AH96">
        <f t="shared" si="1"/>
        <v>0.70570899999999992</v>
      </c>
      <c r="AI96">
        <f t="shared" ref="AI96" si="33">AG37</f>
        <v>14.603281000000001</v>
      </c>
    </row>
    <row r="97" spans="3:35" x14ac:dyDescent="0.35">
      <c r="C97">
        <f t="shared" si="12"/>
        <v>37519364</v>
      </c>
      <c r="D97">
        <f t="shared" si="13"/>
        <v>0.38305799999999995</v>
      </c>
      <c r="H97" t="s">
        <v>30</v>
      </c>
      <c r="I97">
        <f>AVERAGE(E101:E128)</f>
        <v>11.57758111111111</v>
      </c>
      <c r="P97">
        <f t="shared" si="15"/>
        <v>43527591</v>
      </c>
      <c r="Q97">
        <f t="shared" si="16"/>
        <v>0.38311400000000007</v>
      </c>
      <c r="R97">
        <f t="shared" si="17"/>
        <v>11.640286</v>
      </c>
      <c r="U97" t="s">
        <v>33</v>
      </c>
      <c r="V97">
        <f>V94/1.5</f>
        <v>8.2295967948717941</v>
      </c>
      <c r="AG97">
        <f t="shared" si="29"/>
        <v>74033043</v>
      </c>
      <c r="AH97">
        <f t="shared" si="1"/>
        <v>0.72587099999999993</v>
      </c>
      <c r="AI97">
        <f t="shared" ref="AI97" si="34">AG38</f>
        <v>14.97364</v>
      </c>
    </row>
    <row r="98" spans="3:35" x14ac:dyDescent="0.35">
      <c r="C98">
        <f t="shared" si="12"/>
        <v>37539517</v>
      </c>
      <c r="D98">
        <f t="shared" si="13"/>
        <v>0.40321699999999994</v>
      </c>
      <c r="E98">
        <f t="shared" si="14"/>
        <v>10.740829</v>
      </c>
      <c r="H98" t="s">
        <v>31</v>
      </c>
      <c r="I98">
        <f>I97*0.63</f>
        <v>7.2938760999999994</v>
      </c>
      <c r="P98">
        <f t="shared" si="15"/>
        <v>43547755</v>
      </c>
      <c r="Q98">
        <f t="shared" si="16"/>
        <v>0.40327100000000005</v>
      </c>
      <c r="R98">
        <f t="shared" si="17"/>
        <v>11.957765</v>
      </c>
      <c r="AG98">
        <f t="shared" si="29"/>
        <v>74053205</v>
      </c>
      <c r="AH98">
        <f t="shared" si="1"/>
        <v>0.74603399999999997</v>
      </c>
      <c r="AI98">
        <f t="shared" ref="AI98" si="35">AG39</f>
        <v>14.97364</v>
      </c>
    </row>
    <row r="99" spans="3:35" x14ac:dyDescent="0.35">
      <c r="C99">
        <f t="shared" si="12"/>
        <v>37559676</v>
      </c>
      <c r="D99">
        <f t="shared" si="13"/>
        <v>0.42337199999999992</v>
      </c>
      <c r="E99">
        <f t="shared" si="14"/>
        <v>12.010645999999999</v>
      </c>
      <c r="H99" t="s">
        <v>32</v>
      </c>
      <c r="I99">
        <v>0.13</v>
      </c>
      <c r="P99">
        <f t="shared" si="15"/>
        <v>43567912</v>
      </c>
      <c r="Q99">
        <f t="shared" si="16"/>
        <v>0.42345200000000005</v>
      </c>
      <c r="R99">
        <f t="shared" si="17"/>
        <v>11.957741</v>
      </c>
      <c r="AG99">
        <f t="shared" si="29"/>
        <v>74073368</v>
      </c>
      <c r="AH99">
        <f t="shared" si="1"/>
        <v>0.76619199999999998</v>
      </c>
      <c r="AI99">
        <f t="shared" ref="AI99" si="36">AG40</f>
        <v>14.867825</v>
      </c>
    </row>
    <row r="100" spans="3:35" x14ac:dyDescent="0.35">
      <c r="C100">
        <f t="shared" si="12"/>
        <v>37579831</v>
      </c>
      <c r="D100">
        <f t="shared" si="13"/>
        <v>0.44354699999999991</v>
      </c>
      <c r="E100">
        <f t="shared" si="14"/>
        <v>11.005354000000001</v>
      </c>
      <c r="H100" t="s">
        <v>33</v>
      </c>
      <c r="I100">
        <f>I97/1.25</f>
        <v>9.2620648888888883</v>
      </c>
      <c r="P100">
        <f t="shared" si="15"/>
        <v>43588093</v>
      </c>
      <c r="Q100">
        <f t="shared" si="16"/>
        <v>0.44361300000000004</v>
      </c>
      <c r="R100">
        <f t="shared" si="17"/>
        <v>10.105896</v>
      </c>
      <c r="AG100">
        <f t="shared" si="29"/>
        <v>74093526</v>
      </c>
      <c r="AH100">
        <f t="shared" si="1"/>
        <v>0.78634799999999994</v>
      </c>
      <c r="AI100">
        <f t="shared" ref="AI100" si="37">AG41</f>
        <v>14.60327</v>
      </c>
    </row>
    <row r="101" spans="3:35" x14ac:dyDescent="0.35">
      <c r="C101">
        <f t="shared" si="12"/>
        <v>37600006</v>
      </c>
      <c r="D101">
        <f t="shared" si="13"/>
        <v>0.46370099999999992</v>
      </c>
      <c r="E101">
        <f t="shared" si="14"/>
        <v>11.217022</v>
      </c>
      <c r="P101">
        <f t="shared" si="15"/>
        <v>43608254</v>
      </c>
      <c r="Q101">
        <f t="shared" si="16"/>
        <v>0.46377700000000005</v>
      </c>
      <c r="R101">
        <f t="shared" si="17"/>
        <v>11.851931</v>
      </c>
      <c r="AG101">
        <f t="shared" si="29"/>
        <v>74113682</v>
      </c>
      <c r="AH101">
        <f t="shared" si="1"/>
        <v>0.80654399999999993</v>
      </c>
      <c r="AI101">
        <f t="shared" ref="AI101" si="38">AG42</f>
        <v>14.656186</v>
      </c>
    </row>
    <row r="102" spans="3:35" x14ac:dyDescent="0.35">
      <c r="C102">
        <f t="shared" si="12"/>
        <v>37620160</v>
      </c>
      <c r="D102">
        <f t="shared" si="13"/>
        <v>0.48385899999999993</v>
      </c>
      <c r="E102">
        <f t="shared" si="14"/>
        <v>11.375737000000001</v>
      </c>
      <c r="P102">
        <f t="shared" si="15"/>
        <v>43628418</v>
      </c>
      <c r="Q102">
        <f t="shared" si="16"/>
        <v>0.48393200000000003</v>
      </c>
      <c r="R102">
        <f t="shared" si="17"/>
        <v>12.169409</v>
      </c>
      <c r="AG102">
        <f t="shared" si="29"/>
        <v>74133878</v>
      </c>
      <c r="AH102">
        <f t="shared" si="1"/>
        <v>0.82670399999999988</v>
      </c>
      <c r="AI102">
        <f t="shared" ref="AI102" si="39">AG43</f>
        <v>14.920733999999999</v>
      </c>
    </row>
    <row r="103" spans="3:35" x14ac:dyDescent="0.35">
      <c r="C103">
        <f t="shared" si="12"/>
        <v>37640318</v>
      </c>
      <c r="D103">
        <f t="shared" si="13"/>
        <v>0.50401799999999997</v>
      </c>
      <c r="E103">
        <f t="shared" si="14"/>
        <v>12.222314000000001</v>
      </c>
      <c r="P103">
        <f t="shared" si="15"/>
        <v>43648573</v>
      </c>
      <c r="Q103">
        <f t="shared" si="16"/>
        <v>0.50412299999999999</v>
      </c>
      <c r="R103">
        <f t="shared" si="17"/>
        <v>12.433909999999999</v>
      </c>
      <c r="AG103">
        <f t="shared" si="29"/>
        <v>74154038</v>
      </c>
      <c r="AH103">
        <f t="shared" si="1"/>
        <v>0.84685899999999992</v>
      </c>
      <c r="AI103">
        <f t="shared" ref="AI103" si="40">AG44</f>
        <v>15.185290999999999</v>
      </c>
    </row>
    <row r="104" spans="3:35" x14ac:dyDescent="0.35">
      <c r="C104">
        <f t="shared" si="12"/>
        <v>37660477</v>
      </c>
      <c r="D104">
        <f t="shared" si="13"/>
        <v>0.524173</v>
      </c>
      <c r="E104">
        <f t="shared" si="14"/>
        <v>11.269926999999999</v>
      </c>
      <c r="P104">
        <f t="shared" si="15"/>
        <v>43668764</v>
      </c>
      <c r="Q104">
        <f t="shared" si="16"/>
        <v>0.524281</v>
      </c>
      <c r="R104">
        <f t="shared" si="17"/>
        <v>12.380981</v>
      </c>
      <c r="AG104">
        <f t="shared" si="29"/>
        <v>74174193</v>
      </c>
      <c r="AH104">
        <f t="shared" si="1"/>
        <v>0.86704399999999993</v>
      </c>
      <c r="AI104">
        <f t="shared" ref="AI104" si="41">AG45</f>
        <v>14.762003</v>
      </c>
    </row>
    <row r="105" spans="3:35" x14ac:dyDescent="0.35">
      <c r="C105">
        <f t="shared" si="12"/>
        <v>37680632</v>
      </c>
      <c r="D105">
        <f t="shared" si="13"/>
        <v>0.54433100000000001</v>
      </c>
      <c r="E105">
        <f t="shared" si="14"/>
        <v>11.269902999999999</v>
      </c>
      <c r="P105">
        <f t="shared" si="15"/>
        <v>43688922</v>
      </c>
      <c r="Q105">
        <f t="shared" si="16"/>
        <v>0.54443900000000001</v>
      </c>
      <c r="R105">
        <f t="shared" si="17"/>
        <v>12.380981</v>
      </c>
      <c r="AG105">
        <f t="shared" si="29"/>
        <v>74194378</v>
      </c>
      <c r="AH105">
        <f t="shared" si="1"/>
        <v>0.88720699999999997</v>
      </c>
      <c r="AI105">
        <f>AG46</f>
        <v>14.814908000000001</v>
      </c>
    </row>
    <row r="106" spans="3:35" x14ac:dyDescent="0.35">
      <c r="C106">
        <f t="shared" si="12"/>
        <v>37700790</v>
      </c>
      <c r="D106">
        <f t="shared" si="13"/>
        <v>0.56450299999999998</v>
      </c>
      <c r="E106">
        <f t="shared" si="14"/>
        <v>11.058235</v>
      </c>
      <c r="P106">
        <f t="shared" si="15"/>
        <v>43709080</v>
      </c>
      <c r="Q106">
        <f t="shared" si="16"/>
        <v>0.56462599999999996</v>
      </c>
      <c r="R106">
        <f t="shared" si="17"/>
        <v>12.910133999999999</v>
      </c>
      <c r="AG106">
        <f t="shared" si="29"/>
        <v>74214541</v>
      </c>
      <c r="AH106">
        <f t="shared" si="1"/>
        <v>0.90736699999999992</v>
      </c>
      <c r="AI106">
        <f t="shared" ref="AI106:AI111" si="42">AG47</f>
        <v>11.904847999999999</v>
      </c>
    </row>
    <row r="107" spans="3:35" x14ac:dyDescent="0.35">
      <c r="C107">
        <f t="shared" si="12"/>
        <v>37720962</v>
      </c>
      <c r="D107">
        <f t="shared" si="13"/>
        <v>0.584677</v>
      </c>
      <c r="E107">
        <f t="shared" si="14"/>
        <v>11.904859999999999</v>
      </c>
      <c r="P107">
        <f t="shared" si="15"/>
        <v>43729267</v>
      </c>
      <c r="Q107">
        <f t="shared" si="16"/>
        <v>0.58478699999999995</v>
      </c>
      <c r="R107">
        <f t="shared" si="17"/>
        <v>10.211715999999999</v>
      </c>
      <c r="AG107">
        <f t="shared" si="29"/>
        <v>74234701</v>
      </c>
      <c r="AH107">
        <f t="shared" si="1"/>
        <v>0.92753499999999989</v>
      </c>
      <c r="AI107">
        <f t="shared" si="42"/>
        <v>14.497446999999999</v>
      </c>
    </row>
    <row r="108" spans="3:35" x14ac:dyDescent="0.35">
      <c r="C108">
        <f t="shared" si="12"/>
        <v>37741136</v>
      </c>
      <c r="D108">
        <f t="shared" si="13"/>
        <v>0.60483900000000002</v>
      </c>
      <c r="E108">
        <f t="shared" si="14"/>
        <v>11.481571000000001</v>
      </c>
      <c r="P108">
        <f t="shared" si="15"/>
        <v>43749428</v>
      </c>
      <c r="Q108">
        <f t="shared" si="16"/>
        <v>0.60494799999999993</v>
      </c>
      <c r="R108">
        <f t="shared" si="17"/>
        <v>12.48686</v>
      </c>
      <c r="AG108">
        <f t="shared" si="29"/>
        <v>74254869</v>
      </c>
      <c r="AH108">
        <f t="shared" si="1"/>
        <v>0.94771899999999987</v>
      </c>
      <c r="AI108">
        <f t="shared" si="42"/>
        <v>14.656174999999999</v>
      </c>
    </row>
    <row r="109" spans="3:35" x14ac:dyDescent="0.35">
      <c r="C109">
        <f t="shared" si="12"/>
        <v>37761298</v>
      </c>
      <c r="D109">
        <f t="shared" si="13"/>
        <v>0.62499700000000002</v>
      </c>
      <c r="E109">
        <f t="shared" si="14"/>
        <v>11.481571000000001</v>
      </c>
      <c r="P109">
        <f t="shared" si="15"/>
        <v>43769589</v>
      </c>
      <c r="Q109">
        <f t="shared" si="16"/>
        <v>0.62510999999999994</v>
      </c>
      <c r="R109">
        <f t="shared" si="17"/>
        <v>12.910138</v>
      </c>
      <c r="AG109">
        <f t="shared" si="29"/>
        <v>74275053</v>
      </c>
      <c r="AH109">
        <f t="shared" si="1"/>
        <v>0.96787599999999985</v>
      </c>
      <c r="AI109">
        <f t="shared" si="42"/>
        <v>14.603256999999999</v>
      </c>
    </row>
    <row r="110" spans="3:35" x14ac:dyDescent="0.35">
      <c r="C110">
        <f t="shared" si="12"/>
        <v>37781456</v>
      </c>
      <c r="D110">
        <f t="shared" si="13"/>
        <v>0.64515500000000003</v>
      </c>
      <c r="E110">
        <f t="shared" si="14"/>
        <v>11.746109000000001</v>
      </c>
      <c r="P110">
        <f t="shared" si="15"/>
        <v>43789751</v>
      </c>
      <c r="Q110">
        <f t="shared" si="16"/>
        <v>0.64525999999999994</v>
      </c>
      <c r="R110">
        <f t="shared" si="17"/>
        <v>12.857224</v>
      </c>
      <c r="AG110">
        <f t="shared" si="29"/>
        <v>74295210</v>
      </c>
      <c r="AH110">
        <f t="shared" si="1"/>
        <v>0.98803499999999989</v>
      </c>
      <c r="AI110">
        <f t="shared" si="42"/>
        <v>14.814878</v>
      </c>
    </row>
    <row r="111" spans="3:35" x14ac:dyDescent="0.35">
      <c r="C111">
        <f t="shared" si="12"/>
        <v>37801614</v>
      </c>
      <c r="D111">
        <f t="shared" si="13"/>
        <v>0.66531499999999999</v>
      </c>
      <c r="E111">
        <f t="shared" si="14"/>
        <v>10.423349999999999</v>
      </c>
      <c r="P111">
        <f t="shared" si="15"/>
        <v>43809901</v>
      </c>
      <c r="Q111">
        <f t="shared" si="16"/>
        <v>0.6654159999999999</v>
      </c>
      <c r="R111">
        <f t="shared" si="17"/>
        <v>12.539762</v>
      </c>
      <c r="AG111">
        <f t="shared" si="29"/>
        <v>74315369</v>
      </c>
      <c r="AI111">
        <f t="shared" si="42"/>
        <v>15.132379999999999</v>
      </c>
    </row>
    <row r="112" spans="3:35" x14ac:dyDescent="0.35">
      <c r="C112">
        <f t="shared" si="12"/>
        <v>37821774</v>
      </c>
      <c r="D112">
        <f t="shared" si="13"/>
        <v>0.68548399999999998</v>
      </c>
      <c r="E112">
        <f t="shared" si="14"/>
        <v>11.851933000000001</v>
      </c>
      <c r="P112">
        <f t="shared" si="15"/>
        <v>43830057</v>
      </c>
      <c r="Q112">
        <f t="shared" si="16"/>
        <v>0.68559899999999985</v>
      </c>
      <c r="R112">
        <f t="shared" si="17"/>
        <v>12.592668</v>
      </c>
    </row>
    <row r="113" spans="3:35" x14ac:dyDescent="0.35">
      <c r="C113">
        <f t="shared" si="12"/>
        <v>37841943</v>
      </c>
      <c r="D113">
        <f t="shared" si="13"/>
        <v>0.70564300000000002</v>
      </c>
      <c r="E113">
        <f t="shared" si="14"/>
        <v>11.640288</v>
      </c>
      <c r="P113">
        <f t="shared" si="15"/>
        <v>43850240</v>
      </c>
      <c r="Q113">
        <f t="shared" si="16"/>
        <v>0.70577999999999985</v>
      </c>
      <c r="R113">
        <f t="shared" si="17"/>
        <v>12.645567</v>
      </c>
      <c r="AH113" t="s">
        <v>27</v>
      </c>
      <c r="AI113">
        <f>AVERAGE(AI83:AI111)</f>
        <v>14.714564655172415</v>
      </c>
    </row>
    <row r="114" spans="3:35" x14ac:dyDescent="0.35">
      <c r="C114">
        <f t="shared" si="12"/>
        <v>37862102</v>
      </c>
      <c r="D114">
        <f t="shared" si="13"/>
        <v>0.72580299999999998</v>
      </c>
      <c r="E114">
        <f t="shared" si="14"/>
        <v>11.957746999999999</v>
      </c>
      <c r="P114">
        <f t="shared" si="15"/>
        <v>43870421</v>
      </c>
      <c r="Q114">
        <f t="shared" si="16"/>
        <v>0.72594999999999987</v>
      </c>
      <c r="R114">
        <f t="shared" si="17"/>
        <v>12.751412</v>
      </c>
      <c r="AH114" t="s">
        <v>28</v>
      </c>
      <c r="AI114">
        <f>AI113*0.63</f>
        <v>9.2701757327586218</v>
      </c>
    </row>
    <row r="115" spans="3:35" x14ac:dyDescent="0.35">
      <c r="C115">
        <f t="shared" si="12"/>
        <v>37882262</v>
      </c>
      <c r="D115">
        <f t="shared" si="13"/>
        <v>0.74599599999999999</v>
      </c>
      <c r="E115">
        <f t="shared" si="14"/>
        <v>11.587376000000001</v>
      </c>
      <c r="P115">
        <f t="shared" si="15"/>
        <v>43890591</v>
      </c>
      <c r="Q115">
        <f t="shared" si="16"/>
        <v>0.74611199999999989</v>
      </c>
      <c r="R115">
        <f t="shared" si="17"/>
        <v>12.592662000000001</v>
      </c>
    </row>
    <row r="116" spans="3:35" x14ac:dyDescent="0.35">
      <c r="C116">
        <f t="shared" si="12"/>
        <v>37902455</v>
      </c>
      <c r="D116">
        <f t="shared" si="13"/>
        <v>0.76615100000000003</v>
      </c>
      <c r="E116">
        <f t="shared" si="14"/>
        <v>11.428637</v>
      </c>
      <c r="P116">
        <f t="shared" si="15"/>
        <v>43910753</v>
      </c>
      <c r="Q116">
        <f t="shared" si="16"/>
        <v>0.76626899999999987</v>
      </c>
      <c r="R116">
        <f t="shared" si="17"/>
        <v>12.698496</v>
      </c>
    </row>
    <row r="117" spans="3:35" x14ac:dyDescent="0.35">
      <c r="C117">
        <f t="shared" si="12"/>
        <v>37922610</v>
      </c>
      <c r="D117">
        <f t="shared" si="13"/>
        <v>0.78630900000000004</v>
      </c>
      <c r="E117">
        <f t="shared" si="14"/>
        <v>11.428654999999999</v>
      </c>
      <c r="P117">
        <f t="shared" si="15"/>
        <v>43930910</v>
      </c>
      <c r="Q117">
        <f t="shared" si="16"/>
        <v>0.78642299999999987</v>
      </c>
      <c r="R117">
        <f t="shared" si="17"/>
        <v>12.539744000000001</v>
      </c>
    </row>
    <row r="118" spans="3:35" x14ac:dyDescent="0.35">
      <c r="C118">
        <f t="shared" si="12"/>
        <v>37942768</v>
      </c>
      <c r="D118">
        <f t="shared" si="13"/>
        <v>0.80647500000000005</v>
      </c>
      <c r="E118">
        <f t="shared" si="14"/>
        <v>11.746119999999999</v>
      </c>
      <c r="P118">
        <f t="shared" si="15"/>
        <v>43951064</v>
      </c>
      <c r="Q118">
        <f t="shared" si="16"/>
        <v>0.80657799999999991</v>
      </c>
      <c r="R118">
        <f t="shared" si="17"/>
        <v>12.486815</v>
      </c>
    </row>
    <row r="119" spans="3:35" x14ac:dyDescent="0.35">
      <c r="C119">
        <f t="shared" si="12"/>
        <v>37962934</v>
      </c>
      <c r="D119">
        <f t="shared" si="13"/>
        <v>0.82663300000000006</v>
      </c>
      <c r="E119">
        <f t="shared" si="14"/>
        <v>11.799037999999999</v>
      </c>
      <c r="P119">
        <f t="shared" si="15"/>
        <v>43971219</v>
      </c>
      <c r="Q119">
        <f t="shared" si="16"/>
        <v>0.82673999999999992</v>
      </c>
      <c r="R119">
        <f t="shared" si="17"/>
        <v>12.592649</v>
      </c>
    </row>
    <row r="120" spans="3:35" x14ac:dyDescent="0.35">
      <c r="C120">
        <f t="shared" si="12"/>
        <v>37983092</v>
      </c>
      <c r="D120">
        <f t="shared" si="13"/>
        <v>0.84679000000000004</v>
      </c>
      <c r="E120">
        <f t="shared" si="14"/>
        <v>11.799026</v>
      </c>
      <c r="P120">
        <f t="shared" si="15"/>
        <v>43991381</v>
      </c>
      <c r="Q120">
        <f t="shared" si="16"/>
        <v>0.84690599999999994</v>
      </c>
      <c r="R120">
        <f t="shared" si="17"/>
        <v>12.539768</v>
      </c>
    </row>
    <row r="121" spans="3:35" x14ac:dyDescent="0.35">
      <c r="C121">
        <f t="shared" si="12"/>
        <v>38003249</v>
      </c>
      <c r="D121">
        <f t="shared" si="13"/>
        <v>0.86694500000000008</v>
      </c>
      <c r="E121">
        <f t="shared" si="14"/>
        <v>11.904847999999999</v>
      </c>
      <c r="P121">
        <f t="shared" si="15"/>
        <v>44011547</v>
      </c>
      <c r="Q121">
        <f t="shared" si="16"/>
        <v>0.86705999999999994</v>
      </c>
      <c r="R121">
        <f t="shared" si="17"/>
        <v>10.899544000000001</v>
      </c>
    </row>
    <row r="122" spans="3:35" x14ac:dyDescent="0.35">
      <c r="C122">
        <f t="shared" si="12"/>
        <v>38023404</v>
      </c>
      <c r="D122">
        <f t="shared" si="13"/>
        <v>0.88709800000000005</v>
      </c>
      <c r="E122">
        <f t="shared" si="14"/>
        <v>11.904847999999999</v>
      </c>
      <c r="P122">
        <f t="shared" si="15"/>
        <v>44031701</v>
      </c>
      <c r="Q122">
        <f t="shared" si="16"/>
        <v>0.88721599999999989</v>
      </c>
      <c r="R122">
        <f t="shared" si="17"/>
        <v>12.592649</v>
      </c>
    </row>
    <row r="123" spans="3:35" x14ac:dyDescent="0.35">
      <c r="C123">
        <f t="shared" si="12"/>
        <v>38043557</v>
      </c>
      <c r="D123">
        <f t="shared" si="13"/>
        <v>0.90725100000000003</v>
      </c>
      <c r="E123">
        <f t="shared" si="14"/>
        <v>11.693192</v>
      </c>
      <c r="P123">
        <f t="shared" si="15"/>
        <v>44051857</v>
      </c>
      <c r="Q123">
        <f t="shared" si="16"/>
        <v>0.90737599999999985</v>
      </c>
      <c r="R123">
        <f t="shared" si="17"/>
        <v>12.486863</v>
      </c>
    </row>
    <row r="124" spans="3:35" x14ac:dyDescent="0.35">
      <c r="C124">
        <f t="shared" si="12"/>
        <v>38063710</v>
      </c>
      <c r="D124">
        <f t="shared" si="13"/>
        <v>0.92741700000000005</v>
      </c>
      <c r="E124">
        <f t="shared" si="14"/>
        <v>11.587358</v>
      </c>
      <c r="P124">
        <f t="shared" si="15"/>
        <v>44072017</v>
      </c>
      <c r="Q124">
        <f t="shared" si="16"/>
        <v>0.92753399999999986</v>
      </c>
      <c r="R124">
        <f t="shared" si="17"/>
        <v>12.433934000000001</v>
      </c>
    </row>
    <row r="125" spans="3:35" x14ac:dyDescent="0.35">
      <c r="C125">
        <f t="shared" si="12"/>
        <v>38083876</v>
      </c>
      <c r="D125">
        <f t="shared" si="13"/>
        <v>0.94756800000000008</v>
      </c>
      <c r="P125">
        <f t="shared" si="15"/>
        <v>44092175</v>
      </c>
      <c r="Q125">
        <f t="shared" si="16"/>
        <v>0.94768799999999986</v>
      </c>
      <c r="R125">
        <f t="shared" si="17"/>
        <v>12.169409</v>
      </c>
    </row>
    <row r="126" spans="3:35" x14ac:dyDescent="0.35">
      <c r="C126">
        <f t="shared" si="12"/>
        <v>38104027</v>
      </c>
      <c r="D126">
        <f t="shared" si="13"/>
        <v>0.96771800000000008</v>
      </c>
      <c r="E126">
        <f t="shared" si="14"/>
        <v>11.693192</v>
      </c>
      <c r="P126">
        <f t="shared" si="15"/>
        <v>44112329</v>
      </c>
      <c r="Q126">
        <f t="shared" si="16"/>
        <v>0.96785699999999986</v>
      </c>
      <c r="R126">
        <f t="shared" si="17"/>
        <v>11.322832</v>
      </c>
    </row>
    <row r="127" spans="3:35" x14ac:dyDescent="0.35">
      <c r="C127">
        <f t="shared" si="12"/>
        <v>38124177</v>
      </c>
      <c r="D127">
        <f t="shared" si="13"/>
        <v>0.98788100000000012</v>
      </c>
      <c r="E127">
        <f t="shared" si="14"/>
        <v>11.640286</v>
      </c>
      <c r="P127">
        <f t="shared" si="15"/>
        <v>44132498</v>
      </c>
      <c r="Q127">
        <f t="shared" si="16"/>
        <v>0.9880469999999999</v>
      </c>
      <c r="R127">
        <f t="shared" si="17"/>
        <v>12.328148000000001</v>
      </c>
    </row>
    <row r="128" spans="3:35" x14ac:dyDescent="0.35">
      <c r="C128">
        <f t="shared" si="12"/>
        <v>38144340</v>
      </c>
      <c r="E128">
        <f t="shared" si="14"/>
        <v>11.481547000000001</v>
      </c>
      <c r="P128">
        <f t="shared" si="15"/>
        <v>44152688</v>
      </c>
      <c r="Q128">
        <f t="shared" si="16"/>
        <v>-43.164640999999996</v>
      </c>
      <c r="R128">
        <f t="shared" si="17"/>
        <v>10.423325999999999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dataSeveralAnal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2025-11-20T11:00:19Z</dcterms:created>
  <dcterms:modified xsi:type="dcterms:W3CDTF">2025-11-26T13:53:11Z</dcterms:modified>
</cp:coreProperties>
</file>