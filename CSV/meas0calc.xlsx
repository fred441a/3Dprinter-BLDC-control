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as0cal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<sst xmlns="http://schemas.openxmlformats.org/spreadsheetml/2006/main" count="13" uniqueCount="13">
  <si>
    <t xml:space="preserve">TimeStep</t>
  </si>
  <si>
    <t xml:space="preserve">RAW</t>
  </si>
  <si>
    <t xml:space="preserve">DEGREE</t>
  </si>
  <si>
    <t xml:space="preserve">ANGULAR_MOMENTUM</t>
  </si>
  <si>
    <t xml:space="preserve">Max</t>
  </si>
  <si>
    <t xml:space="preserve">max.63</t>
  </si>
  <si>
    <t xml:space="preserve">T</t>
  </si>
  <si>
    <t xml:space="preserve">K_e</t>
  </si>
  <si>
    <t xml:space="preserve">K_t</t>
  </si>
  <si>
    <t xml:space="preserve">B</t>
  </si>
  <si>
    <t xml:space="preserve">R</t>
  </si>
  <si>
    <t xml:space="preserve">J</t>
  </si>
  <si>
    <t xml:space="preserve">0.01745329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</si>
</sst>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0E+00"/>
  </numFmts>
  <fonts count="1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sz val="13"/>
      <name val="Arial"/>
      <family val="2"/>
    </font>
    <font>
      <sz val="10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B3B3B3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Aptos Narrow"/>
              </a:rPr>
              <a:t>ANGULAR_MOMENTUM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meas0calc!$D$1</c:f>
              <c:strCache>
                <c:ptCount val="1"/>
                <c:pt idx="0">
                  <c:v>ANGULAR_MOMENTUM</c:v>
                </c:pt>
              </c:strCache>
            </c:strRef>
          </c:tx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meas0calc!$A$2:$A$185</c:f>
              <c:numCache>
                <c:formatCode>General</c:formatCode>
                <c:ptCount val="184"/>
                <c:pt idx="0">
                  <c:v>0.002</c:v>
                </c:pt>
                <c:pt idx="1">
                  <c:v>0.022</c:v>
                </c:pt>
                <c:pt idx="2">
                  <c:v>0.042</c:v>
                </c:pt>
                <c:pt idx="3">
                  <c:v>0.062</c:v>
                </c:pt>
                <c:pt idx="4">
                  <c:v>0.082</c:v>
                </c:pt>
                <c:pt idx="5">
                  <c:v>0.102</c:v>
                </c:pt>
                <c:pt idx="6">
                  <c:v>0.122</c:v>
                </c:pt>
                <c:pt idx="7">
                  <c:v>0.142</c:v>
                </c:pt>
                <c:pt idx="8">
                  <c:v>0.162</c:v>
                </c:pt>
                <c:pt idx="9">
                  <c:v>0.182</c:v>
                </c:pt>
                <c:pt idx="10">
                  <c:v>0.202</c:v>
                </c:pt>
                <c:pt idx="11">
                  <c:v>0.222</c:v>
                </c:pt>
                <c:pt idx="12">
                  <c:v>0.242</c:v>
                </c:pt>
                <c:pt idx="13">
                  <c:v>0.262</c:v>
                </c:pt>
                <c:pt idx="14">
                  <c:v>0.282</c:v>
                </c:pt>
                <c:pt idx="15">
                  <c:v>0.302</c:v>
                </c:pt>
                <c:pt idx="16">
                  <c:v>0.322</c:v>
                </c:pt>
                <c:pt idx="17">
                  <c:v>0.342</c:v>
                </c:pt>
                <c:pt idx="18">
                  <c:v>0.362</c:v>
                </c:pt>
                <c:pt idx="19">
                  <c:v>0.382</c:v>
                </c:pt>
                <c:pt idx="20">
                  <c:v>0.402</c:v>
                </c:pt>
                <c:pt idx="21">
                  <c:v>0.422</c:v>
                </c:pt>
                <c:pt idx="22">
                  <c:v>0.442</c:v>
                </c:pt>
                <c:pt idx="23">
                  <c:v>0.462</c:v>
                </c:pt>
                <c:pt idx="24">
                  <c:v>0.482</c:v>
                </c:pt>
                <c:pt idx="25">
                  <c:v>0.502</c:v>
                </c:pt>
                <c:pt idx="26">
                  <c:v>0.522</c:v>
                </c:pt>
                <c:pt idx="27">
                  <c:v>0.542</c:v>
                </c:pt>
                <c:pt idx="28">
                  <c:v>0.562</c:v>
                </c:pt>
                <c:pt idx="29">
                  <c:v>0.582</c:v>
                </c:pt>
                <c:pt idx="30">
                  <c:v>0.602</c:v>
                </c:pt>
                <c:pt idx="31">
                  <c:v>0.622</c:v>
                </c:pt>
                <c:pt idx="32">
                  <c:v>0.642</c:v>
                </c:pt>
                <c:pt idx="33">
                  <c:v>0.662</c:v>
                </c:pt>
                <c:pt idx="34">
                  <c:v>0.682</c:v>
                </c:pt>
                <c:pt idx="35">
                  <c:v>0.702</c:v>
                </c:pt>
                <c:pt idx="36">
                  <c:v>0.722</c:v>
                </c:pt>
                <c:pt idx="37">
                  <c:v>0.742</c:v>
                </c:pt>
                <c:pt idx="38">
                  <c:v>0.762</c:v>
                </c:pt>
                <c:pt idx="39">
                  <c:v>0.782</c:v>
                </c:pt>
                <c:pt idx="40">
                  <c:v>0.802</c:v>
                </c:pt>
                <c:pt idx="41">
                  <c:v>0.822</c:v>
                </c:pt>
                <c:pt idx="42">
                  <c:v>0.842</c:v>
                </c:pt>
                <c:pt idx="43">
                  <c:v>0.862</c:v>
                </c:pt>
                <c:pt idx="44">
                  <c:v>0.882000000000001</c:v>
                </c:pt>
                <c:pt idx="45">
                  <c:v>0.902000000000001</c:v>
                </c:pt>
                <c:pt idx="46">
                  <c:v>0.922000000000001</c:v>
                </c:pt>
                <c:pt idx="47">
                  <c:v>0.942000000000001</c:v>
                </c:pt>
                <c:pt idx="48">
                  <c:v>0.962000000000001</c:v>
                </c:pt>
                <c:pt idx="49">
                  <c:v>0.982000000000001</c:v>
                </c:pt>
                <c:pt idx="50">
                  <c:v>1.002</c:v>
                </c:pt>
                <c:pt idx="51">
                  <c:v>1.022</c:v>
                </c:pt>
                <c:pt idx="52">
                  <c:v>1.042</c:v>
                </c:pt>
                <c:pt idx="53">
                  <c:v>1.062</c:v>
                </c:pt>
                <c:pt idx="54">
                  <c:v>1.082</c:v>
                </c:pt>
                <c:pt idx="55">
                  <c:v>1.102</c:v>
                </c:pt>
                <c:pt idx="56">
                  <c:v>1.122</c:v>
                </c:pt>
                <c:pt idx="57">
                  <c:v>1.142</c:v>
                </c:pt>
                <c:pt idx="58">
                  <c:v>1.162</c:v>
                </c:pt>
                <c:pt idx="59">
                  <c:v>1.182</c:v>
                </c:pt>
                <c:pt idx="60">
                  <c:v>1.202</c:v>
                </c:pt>
                <c:pt idx="61">
                  <c:v>1.222</c:v>
                </c:pt>
                <c:pt idx="62">
                  <c:v>1.242</c:v>
                </c:pt>
                <c:pt idx="63">
                  <c:v>1.262</c:v>
                </c:pt>
                <c:pt idx="64">
                  <c:v>1.282</c:v>
                </c:pt>
                <c:pt idx="65">
                  <c:v>1.302</c:v>
                </c:pt>
                <c:pt idx="66">
                  <c:v>1.322</c:v>
                </c:pt>
                <c:pt idx="67">
                  <c:v>1.342</c:v>
                </c:pt>
                <c:pt idx="68">
                  <c:v>1.362</c:v>
                </c:pt>
                <c:pt idx="69">
                  <c:v>1.382</c:v>
                </c:pt>
                <c:pt idx="70">
                  <c:v>1.402</c:v>
                </c:pt>
                <c:pt idx="71">
                  <c:v>1.422</c:v>
                </c:pt>
                <c:pt idx="72">
                  <c:v>1.442</c:v>
                </c:pt>
                <c:pt idx="73">
                  <c:v>1.462</c:v>
                </c:pt>
                <c:pt idx="74">
                  <c:v>1.482</c:v>
                </c:pt>
                <c:pt idx="75">
                  <c:v>1.502</c:v>
                </c:pt>
                <c:pt idx="76">
                  <c:v>1.522</c:v>
                </c:pt>
                <c:pt idx="77">
                  <c:v>1.542</c:v>
                </c:pt>
                <c:pt idx="78">
                  <c:v>1.562</c:v>
                </c:pt>
                <c:pt idx="79">
                  <c:v>1.582</c:v>
                </c:pt>
                <c:pt idx="80">
                  <c:v>1.602</c:v>
                </c:pt>
                <c:pt idx="81">
                  <c:v>1.622</c:v>
                </c:pt>
                <c:pt idx="82">
                  <c:v>1.642</c:v>
                </c:pt>
                <c:pt idx="83">
                  <c:v>1.662</c:v>
                </c:pt>
                <c:pt idx="84">
                  <c:v>1.682</c:v>
                </c:pt>
                <c:pt idx="85">
                  <c:v>1.702</c:v>
                </c:pt>
                <c:pt idx="86">
                  <c:v>1.722</c:v>
                </c:pt>
                <c:pt idx="87">
                  <c:v>1.742</c:v>
                </c:pt>
                <c:pt idx="88">
                  <c:v>1.762</c:v>
                </c:pt>
                <c:pt idx="89">
                  <c:v>1.782</c:v>
                </c:pt>
                <c:pt idx="90">
                  <c:v>1.802</c:v>
                </c:pt>
                <c:pt idx="91">
                  <c:v>1.822</c:v>
                </c:pt>
                <c:pt idx="92">
                  <c:v>1.842</c:v>
                </c:pt>
                <c:pt idx="93">
                  <c:v>1.862</c:v>
                </c:pt>
                <c:pt idx="94">
                  <c:v>1.882</c:v>
                </c:pt>
                <c:pt idx="95">
                  <c:v>1.902</c:v>
                </c:pt>
                <c:pt idx="96">
                  <c:v>1.922</c:v>
                </c:pt>
                <c:pt idx="97">
                  <c:v>1.942</c:v>
                </c:pt>
                <c:pt idx="98">
                  <c:v>1.962</c:v>
                </c:pt>
                <c:pt idx="99">
                  <c:v>1.982</c:v>
                </c:pt>
                <c:pt idx="100">
                  <c:v>2.002</c:v>
                </c:pt>
                <c:pt idx="101">
                  <c:v>2.022</c:v>
                </c:pt>
                <c:pt idx="102">
                  <c:v>2.042</c:v>
                </c:pt>
                <c:pt idx="103">
                  <c:v>2.062</c:v>
                </c:pt>
                <c:pt idx="104">
                  <c:v>2.082</c:v>
                </c:pt>
                <c:pt idx="105">
                  <c:v>2.102</c:v>
                </c:pt>
                <c:pt idx="106">
                  <c:v>2.122</c:v>
                </c:pt>
                <c:pt idx="107">
                  <c:v>2.142</c:v>
                </c:pt>
                <c:pt idx="108">
                  <c:v>2.162</c:v>
                </c:pt>
                <c:pt idx="109">
                  <c:v>2.182</c:v>
                </c:pt>
                <c:pt idx="110">
                  <c:v>2.202</c:v>
                </c:pt>
                <c:pt idx="111">
                  <c:v>2.222</c:v>
                </c:pt>
                <c:pt idx="112">
                  <c:v>2.242</c:v>
                </c:pt>
                <c:pt idx="113">
                  <c:v>2.262</c:v>
                </c:pt>
                <c:pt idx="114">
                  <c:v>2.282</c:v>
                </c:pt>
                <c:pt idx="115">
                  <c:v>2.302</c:v>
                </c:pt>
                <c:pt idx="116">
                  <c:v>2.322</c:v>
                </c:pt>
                <c:pt idx="117">
                  <c:v>2.342</c:v>
                </c:pt>
                <c:pt idx="118">
                  <c:v>2.362</c:v>
                </c:pt>
                <c:pt idx="119">
                  <c:v>2.382</c:v>
                </c:pt>
                <c:pt idx="120">
                  <c:v>2.402</c:v>
                </c:pt>
                <c:pt idx="121">
                  <c:v>2.422</c:v>
                </c:pt>
                <c:pt idx="122">
                  <c:v>2.442</c:v>
                </c:pt>
                <c:pt idx="123">
                  <c:v>2.462</c:v>
                </c:pt>
                <c:pt idx="124">
                  <c:v>2.482</c:v>
                </c:pt>
                <c:pt idx="125">
                  <c:v>2.502</c:v>
                </c:pt>
                <c:pt idx="126">
                  <c:v>2.522</c:v>
                </c:pt>
                <c:pt idx="127">
                  <c:v>2.542</c:v>
                </c:pt>
                <c:pt idx="128">
                  <c:v>2.562</c:v>
                </c:pt>
                <c:pt idx="129">
                  <c:v>2.582</c:v>
                </c:pt>
                <c:pt idx="130">
                  <c:v>2.602</c:v>
                </c:pt>
                <c:pt idx="131">
                  <c:v>2.622</c:v>
                </c:pt>
                <c:pt idx="132">
                  <c:v>2.642</c:v>
                </c:pt>
                <c:pt idx="133">
                  <c:v>2.662</c:v>
                </c:pt>
                <c:pt idx="134">
                  <c:v>2.682</c:v>
                </c:pt>
                <c:pt idx="135">
                  <c:v>2.702</c:v>
                </c:pt>
                <c:pt idx="136">
                  <c:v>2.722</c:v>
                </c:pt>
                <c:pt idx="137">
                  <c:v>2.742</c:v>
                </c:pt>
                <c:pt idx="138">
                  <c:v>2.762</c:v>
                </c:pt>
                <c:pt idx="139">
                  <c:v>2.782</c:v>
                </c:pt>
                <c:pt idx="140">
                  <c:v>2.802</c:v>
                </c:pt>
                <c:pt idx="141">
                  <c:v>2.822</c:v>
                </c:pt>
                <c:pt idx="142">
                  <c:v>2.842</c:v>
                </c:pt>
                <c:pt idx="143">
                  <c:v>2.862</c:v>
                </c:pt>
                <c:pt idx="144">
                  <c:v>2.882</c:v>
                </c:pt>
                <c:pt idx="145">
                  <c:v>2.902</c:v>
                </c:pt>
                <c:pt idx="146">
                  <c:v>2.922</c:v>
                </c:pt>
                <c:pt idx="147">
                  <c:v>2.942</c:v>
                </c:pt>
                <c:pt idx="148">
                  <c:v>2.962</c:v>
                </c:pt>
                <c:pt idx="149">
                  <c:v>2.982</c:v>
                </c:pt>
                <c:pt idx="150">
                  <c:v>3.002</c:v>
                </c:pt>
                <c:pt idx="151">
                  <c:v>3.022</c:v>
                </c:pt>
                <c:pt idx="152">
                  <c:v>3.042</c:v>
                </c:pt>
                <c:pt idx="153">
                  <c:v>3.062</c:v>
                </c:pt>
                <c:pt idx="154">
                  <c:v>3.082</c:v>
                </c:pt>
                <c:pt idx="155">
                  <c:v>3.102</c:v>
                </c:pt>
                <c:pt idx="156">
                  <c:v>3.122</c:v>
                </c:pt>
                <c:pt idx="157">
                  <c:v>3.142</c:v>
                </c:pt>
                <c:pt idx="158">
                  <c:v>3.162</c:v>
                </c:pt>
                <c:pt idx="159">
                  <c:v>3.182</c:v>
                </c:pt>
                <c:pt idx="160">
                  <c:v>3.202</c:v>
                </c:pt>
                <c:pt idx="161">
                  <c:v>3.222</c:v>
                </c:pt>
                <c:pt idx="162">
                  <c:v>3.242</c:v>
                </c:pt>
                <c:pt idx="163">
                  <c:v>3.262</c:v>
                </c:pt>
                <c:pt idx="164">
                  <c:v>3.282</c:v>
                </c:pt>
                <c:pt idx="165">
                  <c:v>3.302</c:v>
                </c:pt>
                <c:pt idx="166">
                  <c:v>3.322</c:v>
                </c:pt>
                <c:pt idx="167">
                  <c:v>3.342</c:v>
                </c:pt>
                <c:pt idx="168">
                  <c:v>3.362</c:v>
                </c:pt>
                <c:pt idx="169">
                  <c:v>3.382</c:v>
                </c:pt>
                <c:pt idx="170">
                  <c:v>3.402</c:v>
                </c:pt>
                <c:pt idx="171">
                  <c:v>3.422</c:v>
                </c:pt>
                <c:pt idx="172">
                  <c:v>3.442</c:v>
                </c:pt>
                <c:pt idx="173">
                  <c:v>3.462</c:v>
                </c:pt>
                <c:pt idx="174">
                  <c:v>3.482</c:v>
                </c:pt>
                <c:pt idx="175">
                  <c:v>3.502</c:v>
                </c:pt>
                <c:pt idx="176">
                  <c:v>3.522</c:v>
                </c:pt>
                <c:pt idx="177">
                  <c:v>3.542</c:v>
                </c:pt>
                <c:pt idx="178">
                  <c:v>3.562</c:v>
                </c:pt>
                <c:pt idx="179">
                  <c:v>3.582</c:v>
                </c:pt>
                <c:pt idx="180">
                  <c:v>3.602</c:v>
                </c:pt>
                <c:pt idx="181">
                  <c:v>3.622</c:v>
                </c:pt>
                <c:pt idx="182">
                  <c:v>3.642</c:v>
                </c:pt>
                <c:pt idx="183">
                  <c:v>3.662</c:v>
                </c:pt>
              </c:numCache>
            </c:numRef>
          </c:xVal>
          <c:yVal>
            <c:numRef>
              <c:f>meas0calc!$D$2:$D$185</c:f>
              <c:numCache>
                <c:formatCode>General</c:formatCode>
                <c:ptCount val="184"/>
                <c:pt idx="1">
                  <c:v>1.620392</c:v>
                </c:pt>
                <c:pt idx="2">
                  <c:v>0</c:v>
                </c:pt>
                <c:pt idx="3">
                  <c:v>-0.030609</c:v>
                </c:pt>
                <c:pt idx="4">
                  <c:v>0.030609</c:v>
                </c:pt>
                <c:pt idx="5">
                  <c:v>-0.030609</c:v>
                </c:pt>
                <c:pt idx="6">
                  <c:v>0.030609</c:v>
                </c:pt>
                <c:pt idx="7">
                  <c:v>0</c:v>
                </c:pt>
                <c:pt idx="8">
                  <c:v>0</c:v>
                </c:pt>
                <c:pt idx="9">
                  <c:v>-0.030609</c:v>
                </c:pt>
                <c:pt idx="10">
                  <c:v>0.030609</c:v>
                </c:pt>
                <c:pt idx="11">
                  <c:v>0</c:v>
                </c:pt>
                <c:pt idx="12">
                  <c:v>-0.030609</c:v>
                </c:pt>
                <c:pt idx="13">
                  <c:v>0</c:v>
                </c:pt>
                <c:pt idx="14">
                  <c:v>0</c:v>
                </c:pt>
                <c:pt idx="15">
                  <c:v>0.030609</c:v>
                </c:pt>
                <c:pt idx="16">
                  <c:v>-0.030609</c:v>
                </c:pt>
                <c:pt idx="17">
                  <c:v>0.030609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-0.030609</c:v>
                </c:pt>
                <c:pt idx="22">
                  <c:v>0.030609</c:v>
                </c:pt>
                <c:pt idx="23">
                  <c:v>-0.030609</c:v>
                </c:pt>
                <c:pt idx="24">
                  <c:v>0.030609</c:v>
                </c:pt>
                <c:pt idx="25">
                  <c:v>-0.030609</c:v>
                </c:pt>
                <c:pt idx="26">
                  <c:v>0.030609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-0.030609</c:v>
                </c:pt>
                <c:pt idx="32">
                  <c:v>0.030609</c:v>
                </c:pt>
                <c:pt idx="33">
                  <c:v>0</c:v>
                </c:pt>
                <c:pt idx="34">
                  <c:v>-0.030609</c:v>
                </c:pt>
                <c:pt idx="35">
                  <c:v>0.030609</c:v>
                </c:pt>
                <c:pt idx="36">
                  <c:v>0</c:v>
                </c:pt>
                <c:pt idx="37">
                  <c:v>-0.030609</c:v>
                </c:pt>
                <c:pt idx="38">
                  <c:v>0</c:v>
                </c:pt>
                <c:pt idx="39">
                  <c:v>0</c:v>
                </c:pt>
                <c:pt idx="40">
                  <c:v>-0.213989</c:v>
                </c:pt>
                <c:pt idx="41">
                  <c:v>0.244598</c:v>
                </c:pt>
                <c:pt idx="42">
                  <c:v>0</c:v>
                </c:pt>
                <c:pt idx="43">
                  <c:v>-0.183472</c:v>
                </c:pt>
                <c:pt idx="44">
                  <c:v>0.183472</c:v>
                </c:pt>
                <c:pt idx="45">
                  <c:v>-0.122314</c:v>
                </c:pt>
                <c:pt idx="46">
                  <c:v>0.061157</c:v>
                </c:pt>
                <c:pt idx="47">
                  <c:v>0.030548</c:v>
                </c:pt>
                <c:pt idx="48">
                  <c:v>0</c:v>
                </c:pt>
                <c:pt idx="49">
                  <c:v>-0.061127</c:v>
                </c:pt>
                <c:pt idx="50">
                  <c:v>0.091736</c:v>
                </c:pt>
                <c:pt idx="51">
                  <c:v>-0.061157</c:v>
                </c:pt>
                <c:pt idx="52">
                  <c:v>0.030548</c:v>
                </c:pt>
                <c:pt idx="53">
                  <c:v>0.030609</c:v>
                </c:pt>
                <c:pt idx="54">
                  <c:v>-0.122314</c:v>
                </c:pt>
                <c:pt idx="55">
                  <c:v>0.122314</c:v>
                </c:pt>
                <c:pt idx="56">
                  <c:v>-0.030609</c:v>
                </c:pt>
                <c:pt idx="57">
                  <c:v>0</c:v>
                </c:pt>
                <c:pt idx="58">
                  <c:v>0.030609</c:v>
                </c:pt>
                <c:pt idx="59">
                  <c:v>-0.030609</c:v>
                </c:pt>
                <c:pt idx="60">
                  <c:v>0</c:v>
                </c:pt>
                <c:pt idx="61">
                  <c:v>0.030609</c:v>
                </c:pt>
                <c:pt idx="62">
                  <c:v>-0.061157</c:v>
                </c:pt>
                <c:pt idx="63">
                  <c:v>0.061157</c:v>
                </c:pt>
                <c:pt idx="64">
                  <c:v>-0.030609</c:v>
                </c:pt>
                <c:pt idx="65">
                  <c:v>0.030609</c:v>
                </c:pt>
                <c:pt idx="66">
                  <c:v>-0.030609</c:v>
                </c:pt>
                <c:pt idx="67">
                  <c:v>0.030609</c:v>
                </c:pt>
                <c:pt idx="68">
                  <c:v>0</c:v>
                </c:pt>
                <c:pt idx="69">
                  <c:v>0</c:v>
                </c:pt>
                <c:pt idx="70">
                  <c:v>-0.030609</c:v>
                </c:pt>
                <c:pt idx="71">
                  <c:v>0.030609</c:v>
                </c:pt>
                <c:pt idx="72">
                  <c:v>0</c:v>
                </c:pt>
                <c:pt idx="73">
                  <c:v>0</c:v>
                </c:pt>
                <c:pt idx="74">
                  <c:v>-0.366913</c:v>
                </c:pt>
                <c:pt idx="75">
                  <c:v>0.275177</c:v>
                </c:pt>
                <c:pt idx="76">
                  <c:v>-0.122314</c:v>
                </c:pt>
                <c:pt idx="77">
                  <c:v>0.152893</c:v>
                </c:pt>
                <c:pt idx="78">
                  <c:v>-0.061157</c:v>
                </c:pt>
                <c:pt idx="79">
                  <c:v>0.091705</c:v>
                </c:pt>
                <c:pt idx="80">
                  <c:v>0</c:v>
                </c:pt>
                <c:pt idx="81">
                  <c:v>-0.183441</c:v>
                </c:pt>
                <c:pt idx="82">
                  <c:v>0.183441</c:v>
                </c:pt>
                <c:pt idx="83">
                  <c:v>-0.275146</c:v>
                </c:pt>
                <c:pt idx="84">
                  <c:v>0.366882</c:v>
                </c:pt>
                <c:pt idx="85">
                  <c:v>2.354156</c:v>
                </c:pt>
                <c:pt idx="86">
                  <c:v>3.210175</c:v>
                </c:pt>
                <c:pt idx="87">
                  <c:v>4.494263</c:v>
                </c:pt>
                <c:pt idx="88">
                  <c:v>5.503174</c:v>
                </c:pt>
                <c:pt idx="89">
                  <c:v>6.145203</c:v>
                </c:pt>
                <c:pt idx="90">
                  <c:v>7.123566</c:v>
                </c:pt>
                <c:pt idx="91">
                  <c:v>7.887878</c:v>
                </c:pt>
                <c:pt idx="92">
                  <c:v>9.355408</c:v>
                </c:pt>
                <c:pt idx="93">
                  <c:v>9.263672</c:v>
                </c:pt>
                <c:pt idx="96">
                  <c:v>9.936289</c:v>
                </c:pt>
                <c:pt idx="97">
                  <c:v>10.180878</c:v>
                </c:pt>
                <c:pt idx="98">
                  <c:v>10.089153</c:v>
                </c:pt>
                <c:pt idx="99">
                  <c:v>10.303169</c:v>
                </c:pt>
                <c:pt idx="100">
                  <c:v>10.33374</c:v>
                </c:pt>
                <c:pt idx="101">
                  <c:v>10.517181</c:v>
                </c:pt>
                <c:pt idx="102">
                  <c:v>10.425461</c:v>
                </c:pt>
                <c:pt idx="103">
                  <c:v>10.456032</c:v>
                </c:pt>
                <c:pt idx="104">
                  <c:v>10.33374</c:v>
                </c:pt>
                <c:pt idx="105">
                  <c:v>10.394897</c:v>
                </c:pt>
                <c:pt idx="106">
                  <c:v>10.547752</c:v>
                </c:pt>
                <c:pt idx="107">
                  <c:v>10.211456</c:v>
                </c:pt>
                <c:pt idx="108">
                  <c:v>10.211441</c:v>
                </c:pt>
                <c:pt idx="109">
                  <c:v>10.33374</c:v>
                </c:pt>
                <c:pt idx="110">
                  <c:v>10.364319</c:v>
                </c:pt>
                <c:pt idx="111">
                  <c:v>10.33374</c:v>
                </c:pt>
                <c:pt idx="112">
                  <c:v>10.364304</c:v>
                </c:pt>
                <c:pt idx="113">
                  <c:v>10.24202</c:v>
                </c:pt>
                <c:pt idx="114">
                  <c:v>10.303177</c:v>
                </c:pt>
                <c:pt idx="115">
                  <c:v>10.242035</c:v>
                </c:pt>
                <c:pt idx="116">
                  <c:v>10.547745</c:v>
                </c:pt>
                <c:pt idx="117">
                  <c:v>10.425461</c:v>
                </c:pt>
                <c:pt idx="118">
                  <c:v>10.394867</c:v>
                </c:pt>
                <c:pt idx="119">
                  <c:v>10.394928</c:v>
                </c:pt>
                <c:pt idx="120">
                  <c:v>10.394867</c:v>
                </c:pt>
                <c:pt idx="121">
                  <c:v>10.394867</c:v>
                </c:pt>
                <c:pt idx="122">
                  <c:v>10.272614</c:v>
                </c:pt>
                <c:pt idx="123">
                  <c:v>11.281494</c:v>
                </c:pt>
                <c:pt idx="124">
                  <c:v>10.211456</c:v>
                </c:pt>
                <c:pt idx="125">
                  <c:v>10.364349</c:v>
                </c:pt>
                <c:pt idx="126">
                  <c:v>10.303131</c:v>
                </c:pt>
                <c:pt idx="127">
                  <c:v>10.394897</c:v>
                </c:pt>
                <c:pt idx="128">
                  <c:v>10.456024</c:v>
                </c:pt>
                <c:pt idx="131">
                  <c:v>10.578323</c:v>
                </c:pt>
                <c:pt idx="132">
                  <c:v>10.517181</c:v>
                </c:pt>
                <c:pt idx="133">
                  <c:v>10.333744</c:v>
                </c:pt>
                <c:pt idx="134">
                  <c:v>10.394882</c:v>
                </c:pt>
                <c:pt idx="135">
                  <c:v>10.517181</c:v>
                </c:pt>
                <c:pt idx="136">
                  <c:v>10.486618</c:v>
                </c:pt>
                <c:pt idx="137">
                  <c:v>10.486595</c:v>
                </c:pt>
                <c:pt idx="138">
                  <c:v>10.364326</c:v>
                </c:pt>
                <c:pt idx="139">
                  <c:v>10.364311</c:v>
                </c:pt>
                <c:pt idx="140">
                  <c:v>10.364311</c:v>
                </c:pt>
                <c:pt idx="141">
                  <c:v>10.394897</c:v>
                </c:pt>
                <c:pt idx="142">
                  <c:v>10.333725</c:v>
                </c:pt>
                <c:pt idx="143">
                  <c:v>10.211456</c:v>
                </c:pt>
                <c:pt idx="144">
                  <c:v>10.54776</c:v>
                </c:pt>
                <c:pt idx="145">
                  <c:v>10.425461</c:v>
                </c:pt>
                <c:pt idx="146">
                  <c:v>10.394882</c:v>
                </c:pt>
                <c:pt idx="147">
                  <c:v>10.211441</c:v>
                </c:pt>
                <c:pt idx="148">
                  <c:v>10.211472</c:v>
                </c:pt>
                <c:pt idx="149">
                  <c:v>10.272583</c:v>
                </c:pt>
                <c:pt idx="150">
                  <c:v>10.486603</c:v>
                </c:pt>
                <c:pt idx="151">
                  <c:v>10.364319</c:v>
                </c:pt>
                <c:pt idx="152">
                  <c:v>10.517181</c:v>
                </c:pt>
                <c:pt idx="153">
                  <c:v>11.403809</c:v>
                </c:pt>
                <c:pt idx="154">
                  <c:v>10.394897</c:v>
                </c:pt>
                <c:pt idx="155">
                  <c:v>10.364319</c:v>
                </c:pt>
                <c:pt idx="156">
                  <c:v>10.455994</c:v>
                </c:pt>
                <c:pt idx="157">
                  <c:v>10.394928</c:v>
                </c:pt>
                <c:pt idx="158">
                  <c:v>10.11972</c:v>
                </c:pt>
                <c:pt idx="159">
                  <c:v>10.33374</c:v>
                </c:pt>
                <c:pt idx="160">
                  <c:v>10.272583</c:v>
                </c:pt>
                <c:pt idx="161">
                  <c:v>10.272583</c:v>
                </c:pt>
                <c:pt idx="162">
                  <c:v>10.303192</c:v>
                </c:pt>
                <c:pt idx="165">
                  <c:v>10.394886</c:v>
                </c:pt>
                <c:pt idx="166">
                  <c:v>10.670046</c:v>
                </c:pt>
                <c:pt idx="167">
                  <c:v>10.456039</c:v>
                </c:pt>
                <c:pt idx="168">
                  <c:v>10.333736</c:v>
                </c:pt>
                <c:pt idx="169">
                  <c:v>10.456036</c:v>
                </c:pt>
                <c:pt idx="170">
                  <c:v>10.639481</c:v>
                </c:pt>
                <c:pt idx="171">
                  <c:v>10.456032</c:v>
                </c:pt>
                <c:pt idx="172">
                  <c:v>10.303162</c:v>
                </c:pt>
                <c:pt idx="173">
                  <c:v>10.517181</c:v>
                </c:pt>
                <c:pt idx="174">
                  <c:v>10.242027</c:v>
                </c:pt>
                <c:pt idx="175">
                  <c:v>10.394875</c:v>
                </c:pt>
                <c:pt idx="176">
                  <c:v>10.364334</c:v>
                </c:pt>
                <c:pt idx="177">
                  <c:v>10.333725</c:v>
                </c:pt>
                <c:pt idx="178">
                  <c:v>10.272614</c:v>
                </c:pt>
                <c:pt idx="179">
                  <c:v>10.547745</c:v>
                </c:pt>
                <c:pt idx="180">
                  <c:v>10.425461</c:v>
                </c:pt>
                <c:pt idx="181">
                  <c:v>10.456039</c:v>
                </c:pt>
                <c:pt idx="182">
                  <c:v>10.364304</c:v>
                </c:pt>
                <c:pt idx="183">
                  <c:v>11.37323</c:v>
                </c:pt>
              </c:numCache>
            </c:numRef>
          </c:yVal>
          <c:smooth val="0"/>
        </c:ser>
        <c:axId val="86481821"/>
        <c:axId val="16709962"/>
      </c:scatterChart>
      <c:valAx>
        <c:axId val="8648182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16709962"/>
        <c:crosses val="autoZero"/>
        <c:crossBetween val="midCat"/>
      </c:valAx>
      <c:valAx>
        <c:axId val="1670996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8648182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meas0calc!$A$86:$A$103</c:f>
              <c:numCache>
                <c:formatCode>General</c:formatCode>
                <c:ptCount val="18"/>
                <c:pt idx="0">
                  <c:v>1.682</c:v>
                </c:pt>
                <c:pt idx="1">
                  <c:v>1.702</c:v>
                </c:pt>
                <c:pt idx="2">
                  <c:v>1.722</c:v>
                </c:pt>
                <c:pt idx="3">
                  <c:v>1.742</c:v>
                </c:pt>
                <c:pt idx="4">
                  <c:v>1.762</c:v>
                </c:pt>
                <c:pt idx="5">
                  <c:v>1.782</c:v>
                </c:pt>
                <c:pt idx="6">
                  <c:v>1.802</c:v>
                </c:pt>
                <c:pt idx="7">
                  <c:v>1.822</c:v>
                </c:pt>
                <c:pt idx="8">
                  <c:v>1.842</c:v>
                </c:pt>
                <c:pt idx="9">
                  <c:v>1.862</c:v>
                </c:pt>
                <c:pt idx="10">
                  <c:v>1.882</c:v>
                </c:pt>
                <c:pt idx="11">
                  <c:v>1.902</c:v>
                </c:pt>
                <c:pt idx="12">
                  <c:v>1.922</c:v>
                </c:pt>
                <c:pt idx="13">
                  <c:v>1.942</c:v>
                </c:pt>
                <c:pt idx="14">
                  <c:v>1.962</c:v>
                </c:pt>
                <c:pt idx="15">
                  <c:v>1.982</c:v>
                </c:pt>
                <c:pt idx="16">
                  <c:v>2.002</c:v>
                </c:pt>
                <c:pt idx="17">
                  <c:v>2.022</c:v>
                </c:pt>
              </c:numCache>
            </c:numRef>
          </c:xVal>
          <c:yVal>
            <c:numRef>
              <c:f>meas0calc!$D$86:$D$103</c:f>
              <c:numCache>
                <c:formatCode>General</c:formatCode>
                <c:ptCount val="18"/>
                <c:pt idx="0">
                  <c:v>0.366882</c:v>
                </c:pt>
                <c:pt idx="1">
                  <c:v>2.354156</c:v>
                </c:pt>
                <c:pt idx="2">
                  <c:v>3.210175</c:v>
                </c:pt>
                <c:pt idx="3">
                  <c:v>4.494263</c:v>
                </c:pt>
                <c:pt idx="4">
                  <c:v>5.503174</c:v>
                </c:pt>
                <c:pt idx="5">
                  <c:v>6.145203</c:v>
                </c:pt>
                <c:pt idx="6">
                  <c:v>7.123566</c:v>
                </c:pt>
                <c:pt idx="7">
                  <c:v>7.887878</c:v>
                </c:pt>
                <c:pt idx="8">
                  <c:v>9.355408</c:v>
                </c:pt>
                <c:pt idx="9">
                  <c:v>9.263672</c:v>
                </c:pt>
                <c:pt idx="12">
                  <c:v>9.936289</c:v>
                </c:pt>
                <c:pt idx="13">
                  <c:v>10.180878</c:v>
                </c:pt>
                <c:pt idx="14">
                  <c:v>10.089153</c:v>
                </c:pt>
                <c:pt idx="15">
                  <c:v>10.303169</c:v>
                </c:pt>
                <c:pt idx="16">
                  <c:v>10.33374</c:v>
                </c:pt>
                <c:pt idx="17">
                  <c:v>10.517181</c:v>
                </c:pt>
              </c:numCache>
            </c:numRef>
          </c:yVal>
          <c:smooth val="0"/>
        </c:ser>
        <c:axId val="90576772"/>
        <c:axId val="60804503"/>
      </c:scatterChart>
      <c:valAx>
        <c:axId val="9057677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60804503"/>
        <c:crosses val="autoZero"/>
        <c:crossBetween val="midCat"/>
      </c:valAx>
      <c:valAx>
        <c:axId val="6080450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905767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meas0calc!$G$2:$G$24</c:f>
              <c:numCache>
                <c:formatCode>General</c:formatCode>
                <c:ptCount val="23"/>
                <c:pt idx="0">
                  <c:v>0</c:v>
                </c:pt>
                <c:pt idx="1">
                  <c:v>0.002</c:v>
                </c:pt>
                <c:pt idx="2">
                  <c:v>0.004</c:v>
                </c:pt>
                <c:pt idx="3">
                  <c:v>0.006</c:v>
                </c:pt>
                <c:pt idx="4">
                  <c:v>0.008</c:v>
                </c:pt>
                <c:pt idx="5">
                  <c:v>0.01</c:v>
                </c:pt>
                <c:pt idx="6">
                  <c:v>0.012</c:v>
                </c:pt>
                <c:pt idx="7">
                  <c:v>0.014</c:v>
                </c:pt>
                <c:pt idx="8">
                  <c:v>0.016</c:v>
                </c:pt>
                <c:pt idx="9">
                  <c:v>0.018</c:v>
                </c:pt>
                <c:pt idx="10">
                  <c:v>0.02</c:v>
                </c:pt>
                <c:pt idx="11">
                  <c:v>0.022</c:v>
                </c:pt>
                <c:pt idx="12">
                  <c:v>0.024</c:v>
                </c:pt>
                <c:pt idx="13">
                  <c:v>0.026</c:v>
                </c:pt>
                <c:pt idx="14">
                  <c:v>0.028</c:v>
                </c:pt>
                <c:pt idx="15">
                  <c:v>0.03</c:v>
                </c:pt>
                <c:pt idx="16">
                  <c:v>0.032</c:v>
                </c:pt>
                <c:pt idx="17">
                  <c:v>0.034</c:v>
                </c:pt>
                <c:pt idx="18">
                  <c:v>0.036</c:v>
                </c:pt>
                <c:pt idx="19">
                  <c:v>0.038</c:v>
                </c:pt>
                <c:pt idx="20">
                  <c:v>0.04</c:v>
                </c:pt>
                <c:pt idx="21">
                  <c:v>0.042</c:v>
                </c:pt>
              </c:numCache>
            </c:numRef>
          </c:xVal>
          <c:yVal>
            <c:numRef>
              <c:f>meas0calc!$H$2:$H$24</c:f>
              <c:numCache>
                <c:formatCode>General</c:formatCode>
                <c:ptCount val="23"/>
                <c:pt idx="0">
                  <c:v>0</c:v>
                </c:pt>
                <c:pt idx="1">
                  <c:v>0.366882</c:v>
                </c:pt>
                <c:pt idx="2">
                  <c:v>2.354156</c:v>
                </c:pt>
                <c:pt idx="3">
                  <c:v>3.210175</c:v>
                </c:pt>
                <c:pt idx="4">
                  <c:v>4.494263</c:v>
                </c:pt>
                <c:pt idx="5">
                  <c:v>5.503174</c:v>
                </c:pt>
                <c:pt idx="6">
                  <c:v>6.145203</c:v>
                </c:pt>
                <c:pt idx="7">
                  <c:v>7.123566</c:v>
                </c:pt>
                <c:pt idx="8">
                  <c:v>7.887878</c:v>
                </c:pt>
                <c:pt idx="9">
                  <c:v>9.355408</c:v>
                </c:pt>
                <c:pt idx="10">
                  <c:v>9.263672</c:v>
                </c:pt>
                <c:pt idx="13">
                  <c:v>9.936289</c:v>
                </c:pt>
                <c:pt idx="14">
                  <c:v>10.180878</c:v>
                </c:pt>
                <c:pt idx="15">
                  <c:v>10.089153</c:v>
                </c:pt>
                <c:pt idx="16">
                  <c:v>10.303169</c:v>
                </c:pt>
                <c:pt idx="17">
                  <c:v>10.33374</c:v>
                </c:pt>
                <c:pt idx="18">
                  <c:v>10.517181</c:v>
                </c:pt>
                <c:pt idx="19">
                  <c:v>10.425461</c:v>
                </c:pt>
                <c:pt idx="20">
                  <c:v>10.456032</c:v>
                </c:pt>
                <c:pt idx="21">
                  <c:v>10.33374</c:v>
                </c:pt>
              </c:numCache>
            </c:numRef>
          </c:yVal>
          <c:smooth val="0"/>
        </c:ser>
        <c:axId val="89665392"/>
        <c:axId val="58100496"/>
      </c:scatterChart>
      <c:valAx>
        <c:axId val="8966539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58100496"/>
        <c:crosses val="autoZero"/>
        <c:crossBetween val="midCat"/>
      </c:valAx>
      <c:valAx>
        <c:axId val="581004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8966539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300" strike="noStrike" u="none">
                <a:uFillTx/>
                <a:latin typeface="Arial"/>
              </a:rPr>
              <a:t>step response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meas0calc!$F$82:$F$107</c:f>
              <c:numCache>
                <c:formatCode>General</c:formatCode>
                <c:ptCount val="26"/>
                <c:pt idx="0">
                  <c:v>-0.266755241666565</c:v>
                </c:pt>
                <c:pt idx="1">
                  <c:v>0.266755241666565</c:v>
                </c:pt>
                <c:pt idx="2">
                  <c:v>-0.400109595833253</c:v>
                </c:pt>
                <c:pt idx="3">
                  <c:v>0.533507574999999</c:v>
                </c:pt>
                <c:pt idx="4">
                  <c:v>3.42333663749998</c:v>
                </c:pt>
                <c:pt idx="5">
                  <c:v>4.66812802499998</c:v>
                </c:pt>
                <c:pt idx="6">
                  <c:v>6.53540744583333</c:v>
                </c:pt>
                <c:pt idx="7">
                  <c:v>8.00253219166665</c:v>
                </c:pt>
                <c:pt idx="8">
                  <c:v>8.93614936250005</c:v>
                </c:pt>
                <c:pt idx="9">
                  <c:v>10.3588507708333</c:v>
                </c:pt>
                <c:pt idx="10">
                  <c:v>11.4702907125</c:v>
                </c:pt>
                <c:pt idx="11">
                  <c:v>13.6043210125</c:v>
                </c:pt>
                <c:pt idx="12">
                  <c:v>13.4709230333333</c:v>
                </c:pt>
                <c:pt idx="13">
                  <c:v>13.8</c:v>
                </c:pt>
                <c:pt idx="14">
                  <c:v>14.3</c:v>
                </c:pt>
                <c:pt idx="15">
                  <c:v>14.4490202541667</c:v>
                </c:pt>
                <c:pt idx="16">
                  <c:v>14.804693425</c:v>
                </c:pt>
                <c:pt idx="17">
                  <c:v>14.6713099875</c:v>
                </c:pt>
                <c:pt idx="18">
                  <c:v>14.9825249208333</c:v>
                </c:pt>
                <c:pt idx="19">
                  <c:v>15.0269817041667</c:v>
                </c:pt>
                <c:pt idx="20">
                  <c:v>15.2937340375</c:v>
                </c:pt>
                <c:pt idx="21">
                  <c:v>15.1603578708333</c:v>
                </c:pt>
                <c:pt idx="22">
                  <c:v>15.2048132</c:v>
                </c:pt>
                <c:pt idx="23">
                  <c:v>15.02698025</c:v>
                </c:pt>
                <c:pt idx="24">
                  <c:v>15.1159127208333</c:v>
                </c:pt>
                <c:pt idx="25">
                  <c:v>15.3381908208333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2298407"/>
        <c:axId val="3225693"/>
      </c:lineChart>
      <c:catAx>
        <c:axId val="722984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uFillTx/>
                    <a:latin typeface="Arial"/>
                  </a:rPr>
                  <a:t>sample(12ms)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3225693"/>
        <c:crosses val="autoZero"/>
        <c:auto val="1"/>
        <c:lblAlgn val="ctr"/>
        <c:lblOffset val="100"/>
        <c:noMultiLvlLbl val="0"/>
      </c:catAx>
      <c:valAx>
        <c:axId val="322569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uFillTx/>
                    <a:latin typeface="Arial"/>
                  </a:rPr>
                  <a:t>rad/s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7229840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meas0calc!$G$82:$G$110</c:f>
              <c:numCache>
                <c:formatCode>General</c:formatCode>
                <c:ptCount val="29"/>
                <c:pt idx="0">
                  <c:v>0.012</c:v>
                </c:pt>
                <c:pt idx="1">
                  <c:v>0.024</c:v>
                </c:pt>
                <c:pt idx="2">
                  <c:v>0.036</c:v>
                </c:pt>
                <c:pt idx="3">
                  <c:v>0.048</c:v>
                </c:pt>
                <c:pt idx="4">
                  <c:v>0.06</c:v>
                </c:pt>
                <c:pt idx="5">
                  <c:v>0.072</c:v>
                </c:pt>
                <c:pt idx="6">
                  <c:v>0.084</c:v>
                </c:pt>
                <c:pt idx="7">
                  <c:v>0.096</c:v>
                </c:pt>
                <c:pt idx="8">
                  <c:v>0.108</c:v>
                </c:pt>
                <c:pt idx="9">
                  <c:v>0.12</c:v>
                </c:pt>
                <c:pt idx="10">
                  <c:v>0.132</c:v>
                </c:pt>
                <c:pt idx="11">
                  <c:v>0.144</c:v>
                </c:pt>
                <c:pt idx="12">
                  <c:v>0.156</c:v>
                </c:pt>
                <c:pt idx="13">
                  <c:v>0.168</c:v>
                </c:pt>
                <c:pt idx="14">
                  <c:v>0.18</c:v>
                </c:pt>
                <c:pt idx="15">
                  <c:v>0.192</c:v>
                </c:pt>
                <c:pt idx="16">
                  <c:v>0.204</c:v>
                </c:pt>
                <c:pt idx="17">
                  <c:v>0.216</c:v>
                </c:pt>
                <c:pt idx="18">
                  <c:v>0.228</c:v>
                </c:pt>
                <c:pt idx="19">
                  <c:v>0.24</c:v>
                </c:pt>
                <c:pt idx="20">
                  <c:v>0.252</c:v>
                </c:pt>
                <c:pt idx="21">
                  <c:v>0.264</c:v>
                </c:pt>
                <c:pt idx="22">
                  <c:v>0.276</c:v>
                </c:pt>
                <c:pt idx="23">
                  <c:v>0.288</c:v>
                </c:pt>
                <c:pt idx="24">
                  <c:v>0.3</c:v>
                </c:pt>
                <c:pt idx="25">
                  <c:v>0.312</c:v>
                </c:pt>
                <c:pt idx="26">
                  <c:v>0.324</c:v>
                </c:pt>
                <c:pt idx="27">
                  <c:v>0.336</c:v>
                </c:pt>
                <c:pt idx="28">
                  <c:v>0.348</c:v>
                </c:pt>
              </c:numCache>
            </c:numRef>
          </c:xVal>
          <c:yVal>
            <c:numRef>
              <c:f>meas0calc!$F$82:$F$110</c:f>
              <c:numCache>
                <c:formatCode>General</c:formatCode>
                <c:ptCount val="29"/>
                <c:pt idx="0">
                  <c:v>-0.266755241666565</c:v>
                </c:pt>
                <c:pt idx="1">
                  <c:v>0.266755241666565</c:v>
                </c:pt>
                <c:pt idx="2">
                  <c:v>-0.400109595833253</c:v>
                </c:pt>
                <c:pt idx="3">
                  <c:v>0.533507574999999</c:v>
                </c:pt>
                <c:pt idx="4">
                  <c:v>3.42333663749998</c:v>
                </c:pt>
                <c:pt idx="5">
                  <c:v>4.66812802499998</c:v>
                </c:pt>
                <c:pt idx="6">
                  <c:v>6.53540744583333</c:v>
                </c:pt>
                <c:pt idx="7">
                  <c:v>8.00253219166665</c:v>
                </c:pt>
                <c:pt idx="8">
                  <c:v>8.93614936250005</c:v>
                </c:pt>
                <c:pt idx="9">
                  <c:v>10.3588507708333</c:v>
                </c:pt>
                <c:pt idx="10">
                  <c:v>11.4702907125</c:v>
                </c:pt>
                <c:pt idx="11">
                  <c:v>13.6043210125</c:v>
                </c:pt>
                <c:pt idx="12">
                  <c:v>13.4709230333333</c:v>
                </c:pt>
                <c:pt idx="13">
                  <c:v>13.8</c:v>
                </c:pt>
                <c:pt idx="14">
                  <c:v>14.3</c:v>
                </c:pt>
                <c:pt idx="15">
                  <c:v>14.4490202541667</c:v>
                </c:pt>
                <c:pt idx="16">
                  <c:v>14.804693425</c:v>
                </c:pt>
                <c:pt idx="17">
                  <c:v>14.6713099875</c:v>
                </c:pt>
                <c:pt idx="18">
                  <c:v>14.9825249208333</c:v>
                </c:pt>
                <c:pt idx="19">
                  <c:v>15.0269817041667</c:v>
                </c:pt>
                <c:pt idx="20">
                  <c:v>15.2937340375</c:v>
                </c:pt>
                <c:pt idx="21">
                  <c:v>15.1603578708333</c:v>
                </c:pt>
                <c:pt idx="22">
                  <c:v>15.2048132</c:v>
                </c:pt>
                <c:pt idx="23">
                  <c:v>15.02698025</c:v>
                </c:pt>
                <c:pt idx="24">
                  <c:v>15.1159127208333</c:v>
                </c:pt>
                <c:pt idx="25">
                  <c:v>15.3381908208333</c:v>
                </c:pt>
                <c:pt idx="26">
                  <c:v>14.8491589333333</c:v>
                </c:pt>
                <c:pt idx="27">
                  <c:v>14.8491371208334</c:v>
                </c:pt>
                <c:pt idx="28">
                  <c:v>15.02698025</c:v>
                </c:pt>
              </c:numCache>
            </c:numRef>
          </c:yVal>
          <c:smooth val="0"/>
        </c:ser>
        <c:axId val="37691275"/>
        <c:axId val="66882980"/>
      </c:scatterChart>
      <c:valAx>
        <c:axId val="376912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66882980"/>
        <c:crosses val="autoZero"/>
        <c:crossBetween val="midCat"/>
      </c:valAx>
      <c:valAx>
        <c:axId val="6688298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3769127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263520</xdr:colOff>
      <xdr:row>3</xdr:row>
      <xdr:rowOff>0</xdr:rowOff>
    </xdr:from>
    <xdr:to>
      <xdr:col>23</xdr:col>
      <xdr:colOff>568080</xdr:colOff>
      <xdr:row>17</xdr:row>
      <xdr:rowOff>161640</xdr:rowOff>
    </xdr:to>
    <xdr:graphicFrame>
      <xdr:nvGraphicFramePr>
        <xdr:cNvPr id="0" name="Chart 1"/>
        <xdr:cNvGraphicFramePr/>
      </xdr:nvGraphicFramePr>
      <xdr:xfrm>
        <a:off x="14272920" y="542880"/>
        <a:ext cx="5730120" cy="269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662040</xdr:colOff>
      <xdr:row>44</xdr:row>
      <xdr:rowOff>133560</xdr:rowOff>
    </xdr:from>
    <xdr:to>
      <xdr:col>17</xdr:col>
      <xdr:colOff>356760</xdr:colOff>
      <xdr:row>59</xdr:row>
      <xdr:rowOff>114120</xdr:rowOff>
    </xdr:to>
    <xdr:graphicFrame>
      <xdr:nvGraphicFramePr>
        <xdr:cNvPr id="1" name="Chart 3"/>
        <xdr:cNvGraphicFramePr/>
      </xdr:nvGraphicFramePr>
      <xdr:xfrm>
        <a:off x="9359640" y="8096400"/>
        <a:ext cx="5765400" cy="269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600120</xdr:colOff>
      <xdr:row>5</xdr:row>
      <xdr:rowOff>73080</xdr:rowOff>
    </xdr:from>
    <xdr:to>
      <xdr:col>16</xdr:col>
      <xdr:colOff>294840</xdr:colOff>
      <xdr:row>20</xdr:row>
      <xdr:rowOff>53640</xdr:rowOff>
    </xdr:to>
    <xdr:graphicFrame>
      <xdr:nvGraphicFramePr>
        <xdr:cNvPr id="2" name="Chart 4"/>
        <xdr:cNvGraphicFramePr/>
      </xdr:nvGraphicFramePr>
      <xdr:xfrm>
        <a:off x="8538840" y="978120"/>
        <a:ext cx="5765400" cy="269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183960</xdr:colOff>
      <xdr:row>90</xdr:row>
      <xdr:rowOff>83880</xdr:rowOff>
    </xdr:from>
    <xdr:to>
      <xdr:col>16</xdr:col>
      <xdr:colOff>631800</xdr:colOff>
      <xdr:row>108</xdr:row>
      <xdr:rowOff>65880</xdr:rowOff>
    </xdr:to>
    <xdr:graphicFrame>
      <xdr:nvGraphicFramePr>
        <xdr:cNvPr id="3" name=""/>
        <xdr:cNvGraphicFramePr/>
      </xdr:nvGraphicFramePr>
      <xdr:xfrm>
        <a:off x="8881560" y="165506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272880</xdr:colOff>
      <xdr:row>71</xdr:row>
      <xdr:rowOff>53280</xdr:rowOff>
    </xdr:from>
    <xdr:to>
      <xdr:col>16</xdr:col>
      <xdr:colOff>720720</xdr:colOff>
      <xdr:row>88</xdr:row>
      <xdr:rowOff>37080</xdr:rowOff>
    </xdr:to>
    <xdr:graphicFrame>
      <xdr:nvGraphicFramePr>
        <xdr:cNvPr id="4" name="Step respon"/>
        <xdr:cNvGraphicFramePr/>
      </xdr:nvGraphicFramePr>
      <xdr:xfrm>
        <a:off x="8970480" y="129024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85"/>
  <sheetViews>
    <sheetView showFormulas="false" showGridLines="true" showRowColHeaders="true" showZeros="true" rightToLeft="false" tabSelected="true" showOutlineSymbols="true" defaultGridColor="true" view="normal" topLeftCell="A69" colorId="64" zoomScale="100" zoomScaleNormal="100" zoomScalePageLayoutView="100" workbookViewId="0">
      <selection pane="topLeft" activeCell="I89" activeCellId="0" sqref="I89"/>
    </sheetView>
  </sheetViews>
  <sheetFormatPr defaultColWidth="8.5390625" defaultRowHeight="14.25" zeroHeight="false" outlineLevelRow="0" outlineLevelCol="0"/>
  <cols>
    <col collapsed="false" customWidth="true" hidden="false" outlineLevel="0" max="4" min="4" style="0" width="20"/>
    <col collapsed="false" customWidth="true" hidden="false" outlineLevel="0" max="5" min="5" style="0" width="18.09"/>
    <col collapsed="false" customWidth="true" hidden="false" outlineLevel="0" max="19" min="19" style="0" width="9.82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4.25" hidden="false" customHeight="false" outlineLevel="0" collapsed="false">
      <c r="A2" s="0" t="n">
        <f aca="false">2*10^-3</f>
        <v>0.002</v>
      </c>
      <c r="B2" s="0" t="n">
        <v>0.80016</v>
      </c>
      <c r="C2" s="0" t="n">
        <v>305.793152</v>
      </c>
      <c r="G2" s="0" t="n">
        <v>0</v>
      </c>
      <c r="H2" s="0" t="n">
        <v>0</v>
      </c>
    </row>
    <row r="3" customFormat="false" ht="14.25" hidden="false" customHeight="false" outlineLevel="0" collapsed="false">
      <c r="A3" s="0" t="n">
        <f aca="false">A2+20*10^-3</f>
        <v>0.022</v>
      </c>
      <c r="B3" s="0" t="n">
        <v>0.8044</v>
      </c>
      <c r="C3" s="0" t="n">
        <v>307.413544</v>
      </c>
      <c r="D3" s="0" t="n">
        <v>1.620392</v>
      </c>
      <c r="G3" s="0" t="n">
        <f aca="false">G2+2*10^-3</f>
        <v>0.002</v>
      </c>
      <c r="H3" s="0" t="n">
        <f aca="false">D86</f>
        <v>0.366882</v>
      </c>
    </row>
    <row r="4" customFormat="false" ht="14.25" hidden="false" customHeight="false" outlineLevel="0" collapsed="false">
      <c r="A4" s="0" t="n">
        <f aca="false">A3+20*10^-3</f>
        <v>0.042</v>
      </c>
      <c r="B4" s="0" t="n">
        <v>0.8044</v>
      </c>
      <c r="C4" s="0" t="n">
        <v>307.413544</v>
      </c>
      <c r="D4" s="0" t="n">
        <v>0</v>
      </c>
      <c r="G4" s="0" t="n">
        <f aca="false">G3+2*10^-3</f>
        <v>0.004</v>
      </c>
      <c r="H4" s="0" t="n">
        <f aca="false">D87</f>
        <v>2.354156</v>
      </c>
    </row>
    <row r="5" customFormat="false" ht="14.25" hidden="false" customHeight="false" outlineLevel="0" collapsed="false">
      <c r="A5" s="0" t="n">
        <f aca="false">A4+20*10^-3</f>
        <v>0.062</v>
      </c>
      <c r="B5" s="0" t="n">
        <v>0.80432</v>
      </c>
      <c r="C5" s="0" t="n">
        <v>307.382935</v>
      </c>
      <c r="D5" s="0" t="n">
        <v>-0.030609</v>
      </c>
      <c r="G5" s="0" t="n">
        <f aca="false">G4+2*10^-3</f>
        <v>0.006</v>
      </c>
      <c r="H5" s="0" t="n">
        <f aca="false">D88</f>
        <v>3.210175</v>
      </c>
    </row>
    <row r="6" customFormat="false" ht="14.25" hidden="false" customHeight="false" outlineLevel="0" collapsed="false">
      <c r="A6" s="0" t="n">
        <f aca="false">A5+20*10^-3</f>
        <v>0.082</v>
      </c>
      <c r="B6" s="0" t="n">
        <v>0.8044</v>
      </c>
      <c r="C6" s="0" t="n">
        <v>307.413544</v>
      </c>
      <c r="D6" s="0" t="n">
        <v>0.030609</v>
      </c>
      <c r="G6" s="0" t="n">
        <f aca="false">G5+2*10^-3</f>
        <v>0.008</v>
      </c>
      <c r="H6" s="0" t="n">
        <f aca="false">D89</f>
        <v>4.494263</v>
      </c>
    </row>
    <row r="7" customFormat="false" ht="14.25" hidden="false" customHeight="false" outlineLevel="0" collapsed="false">
      <c r="A7" s="0" t="n">
        <f aca="false">A6+20*10^-3</f>
        <v>0.102</v>
      </c>
      <c r="B7" s="0" t="n">
        <v>0.80432</v>
      </c>
      <c r="C7" s="0" t="n">
        <v>307.382935</v>
      </c>
      <c r="D7" s="0" t="n">
        <v>-0.030609</v>
      </c>
      <c r="G7" s="0" t="n">
        <f aca="false">G6+2*10^-3</f>
        <v>0.01</v>
      </c>
      <c r="H7" s="0" t="n">
        <f aca="false">D90</f>
        <v>5.503174</v>
      </c>
    </row>
    <row r="8" customFormat="false" ht="14.25" hidden="false" customHeight="false" outlineLevel="0" collapsed="false">
      <c r="A8" s="0" t="n">
        <f aca="false">A7+20*10^-3</f>
        <v>0.122</v>
      </c>
      <c r="B8" s="0" t="n">
        <v>0.8044</v>
      </c>
      <c r="C8" s="0" t="n">
        <v>307.413544</v>
      </c>
      <c r="D8" s="0" t="n">
        <v>0.030609</v>
      </c>
      <c r="G8" s="0" t="n">
        <f aca="false">G7+2*10^-3</f>
        <v>0.012</v>
      </c>
      <c r="H8" s="0" t="n">
        <f aca="false">D91</f>
        <v>6.145203</v>
      </c>
    </row>
    <row r="9" customFormat="false" ht="14.25" hidden="false" customHeight="false" outlineLevel="0" collapsed="false">
      <c r="A9" s="0" t="n">
        <f aca="false">A8+20*10^-3</f>
        <v>0.142</v>
      </c>
      <c r="B9" s="0" t="n">
        <v>0.8044</v>
      </c>
      <c r="C9" s="0" t="n">
        <v>307.413544</v>
      </c>
      <c r="D9" s="0" t="n">
        <v>0</v>
      </c>
      <c r="G9" s="0" t="n">
        <f aca="false">G8+2*10^-3</f>
        <v>0.014</v>
      </c>
      <c r="H9" s="0" t="n">
        <f aca="false">D92</f>
        <v>7.123566</v>
      </c>
    </row>
    <row r="10" customFormat="false" ht="14.25" hidden="false" customHeight="false" outlineLevel="0" collapsed="false">
      <c r="A10" s="0" t="n">
        <f aca="false">A9+20*10^-3</f>
        <v>0.162</v>
      </c>
      <c r="B10" s="0" t="n">
        <v>0.8044</v>
      </c>
      <c r="C10" s="0" t="n">
        <v>307.413544</v>
      </c>
      <c r="D10" s="0" t="n">
        <v>0</v>
      </c>
      <c r="G10" s="0" t="n">
        <f aca="false">G9+2*10^-3</f>
        <v>0.016</v>
      </c>
      <c r="H10" s="0" t="n">
        <f aca="false">D93</f>
        <v>7.887878</v>
      </c>
    </row>
    <row r="11" customFormat="false" ht="14.25" hidden="false" customHeight="false" outlineLevel="0" collapsed="false">
      <c r="A11" s="0" t="n">
        <f aca="false">A10+20*10^-3</f>
        <v>0.182</v>
      </c>
      <c r="B11" s="0" t="n">
        <v>0.80432</v>
      </c>
      <c r="C11" s="0" t="n">
        <v>307.382935</v>
      </c>
      <c r="D11" s="0" t="n">
        <v>-0.030609</v>
      </c>
      <c r="G11" s="0" t="n">
        <f aca="false">G10+2*10^-3</f>
        <v>0.018</v>
      </c>
      <c r="H11" s="0" t="n">
        <f aca="false">D94</f>
        <v>9.355408</v>
      </c>
    </row>
    <row r="12" customFormat="false" ht="14.25" hidden="false" customHeight="false" outlineLevel="0" collapsed="false">
      <c r="A12" s="0" t="n">
        <f aca="false">A11+20*10^-3</f>
        <v>0.202</v>
      </c>
      <c r="B12" s="0" t="n">
        <v>0.8044</v>
      </c>
      <c r="C12" s="0" t="n">
        <v>307.413544</v>
      </c>
      <c r="D12" s="0" t="n">
        <v>0.030609</v>
      </c>
      <c r="G12" s="0" t="n">
        <f aca="false">G11+2*10^-3</f>
        <v>0.02</v>
      </c>
      <c r="H12" s="0" t="n">
        <f aca="false">D95</f>
        <v>9.263672</v>
      </c>
    </row>
    <row r="13" customFormat="false" ht="14.25" hidden="false" customHeight="false" outlineLevel="0" collapsed="false">
      <c r="A13" s="0" t="n">
        <f aca="false">A12+20*10^-3</f>
        <v>0.222</v>
      </c>
      <c r="B13" s="0" t="n">
        <v>0.8044</v>
      </c>
      <c r="C13" s="0" t="n">
        <v>307.413544</v>
      </c>
      <c r="D13" s="0" t="n">
        <v>0</v>
      </c>
      <c r="G13" s="0" t="n">
        <f aca="false">G12+2*10^-3</f>
        <v>0.022</v>
      </c>
    </row>
    <row r="14" customFormat="false" ht="14.25" hidden="false" customHeight="false" outlineLevel="0" collapsed="false">
      <c r="A14" s="0" t="n">
        <f aca="false">A13+20*10^-3</f>
        <v>0.242</v>
      </c>
      <c r="B14" s="0" t="n">
        <v>0.80432</v>
      </c>
      <c r="C14" s="0" t="n">
        <v>307.382935</v>
      </c>
      <c r="D14" s="0" t="n">
        <v>-0.030609</v>
      </c>
      <c r="G14" s="0" t="n">
        <f aca="false">G13+2*10^-3</f>
        <v>0.024</v>
      </c>
    </row>
    <row r="15" customFormat="false" ht="14.25" hidden="false" customHeight="false" outlineLevel="0" collapsed="false">
      <c r="A15" s="0" t="n">
        <f aca="false">A14+20*10^-3</f>
        <v>0.262</v>
      </c>
      <c r="B15" s="0" t="n">
        <v>0.80432</v>
      </c>
      <c r="C15" s="0" t="n">
        <v>307.382935</v>
      </c>
      <c r="D15" s="0" t="n">
        <v>0</v>
      </c>
      <c r="G15" s="0" t="n">
        <f aca="false">G14+2*10^-3</f>
        <v>0.026</v>
      </c>
      <c r="H15" s="0" t="n">
        <f aca="false">D98</f>
        <v>9.936289</v>
      </c>
    </row>
    <row r="16" customFormat="false" ht="14.25" hidden="false" customHeight="false" outlineLevel="0" collapsed="false">
      <c r="A16" s="0" t="n">
        <f aca="false">A15+20*10^-3</f>
        <v>0.282</v>
      </c>
      <c r="B16" s="0" t="n">
        <v>0.80432</v>
      </c>
      <c r="C16" s="0" t="n">
        <v>307.382935</v>
      </c>
      <c r="D16" s="0" t="n">
        <v>0</v>
      </c>
      <c r="G16" s="0" t="n">
        <f aca="false">G15+2*10^-3</f>
        <v>0.028</v>
      </c>
      <c r="H16" s="0" t="n">
        <f aca="false">D99</f>
        <v>10.180878</v>
      </c>
    </row>
    <row r="17" customFormat="false" ht="14.25" hidden="false" customHeight="false" outlineLevel="0" collapsed="false">
      <c r="A17" s="0" t="n">
        <f aca="false">A16+20*10^-3</f>
        <v>0.302</v>
      </c>
      <c r="B17" s="0" t="n">
        <v>0.8044</v>
      </c>
      <c r="C17" s="0" t="n">
        <v>307.413544</v>
      </c>
      <c r="D17" s="0" t="n">
        <v>0.030609</v>
      </c>
      <c r="G17" s="0" t="n">
        <f aca="false">G16+2*10^-3</f>
        <v>0.03</v>
      </c>
      <c r="H17" s="0" t="n">
        <f aca="false">D100</f>
        <v>10.089153</v>
      </c>
    </row>
    <row r="18" customFormat="false" ht="14.25" hidden="false" customHeight="false" outlineLevel="0" collapsed="false">
      <c r="A18" s="0" t="n">
        <f aca="false">A17+20*10^-3</f>
        <v>0.322</v>
      </c>
      <c r="B18" s="0" t="n">
        <v>0.80432</v>
      </c>
      <c r="C18" s="0" t="n">
        <v>307.382935</v>
      </c>
      <c r="D18" s="0" t="n">
        <v>-0.030609</v>
      </c>
      <c r="G18" s="0" t="n">
        <f aca="false">G17+2*10^-3</f>
        <v>0.032</v>
      </c>
      <c r="H18" s="0" t="n">
        <f aca="false">D101</f>
        <v>10.303169</v>
      </c>
    </row>
    <row r="19" customFormat="false" ht="14.25" hidden="false" customHeight="false" outlineLevel="0" collapsed="false">
      <c r="A19" s="0" t="n">
        <f aca="false">A18+20*10^-3</f>
        <v>0.342</v>
      </c>
      <c r="B19" s="0" t="n">
        <v>0.8044</v>
      </c>
      <c r="C19" s="0" t="n">
        <v>307.413544</v>
      </c>
      <c r="D19" s="0" t="n">
        <v>0.030609</v>
      </c>
      <c r="G19" s="0" t="n">
        <f aca="false">G18+2*10^-3</f>
        <v>0.034</v>
      </c>
      <c r="H19" s="0" t="n">
        <f aca="false">D102</f>
        <v>10.33374</v>
      </c>
    </row>
    <row r="20" customFormat="false" ht="14.25" hidden="false" customHeight="false" outlineLevel="0" collapsed="false">
      <c r="A20" s="0" t="n">
        <f aca="false">A19+20*10^-3</f>
        <v>0.362</v>
      </c>
      <c r="B20" s="0" t="n">
        <v>0.8044</v>
      </c>
      <c r="C20" s="0" t="n">
        <v>307.413544</v>
      </c>
      <c r="D20" s="0" t="n">
        <v>0</v>
      </c>
      <c r="G20" s="0" t="n">
        <f aca="false">G19+2*10^-3</f>
        <v>0.036</v>
      </c>
      <c r="H20" s="0" t="n">
        <f aca="false">D103</f>
        <v>10.517181</v>
      </c>
    </row>
    <row r="21" customFormat="false" ht="14.25" hidden="false" customHeight="false" outlineLevel="0" collapsed="false">
      <c r="A21" s="0" t="n">
        <f aca="false">A20+20*10^-3</f>
        <v>0.382</v>
      </c>
      <c r="B21" s="0" t="n">
        <v>0.8044</v>
      </c>
      <c r="C21" s="0" t="n">
        <v>307.413544</v>
      </c>
      <c r="D21" s="0" t="n">
        <v>0</v>
      </c>
      <c r="G21" s="0" t="n">
        <f aca="false">G20+2*10^-3</f>
        <v>0.038</v>
      </c>
      <c r="H21" s="0" t="n">
        <f aca="false">D104</f>
        <v>10.425461</v>
      </c>
    </row>
    <row r="22" customFormat="false" ht="14.25" hidden="false" customHeight="false" outlineLevel="0" collapsed="false">
      <c r="A22" s="0" t="n">
        <f aca="false">A21+20*10^-3</f>
        <v>0.402</v>
      </c>
      <c r="B22" s="0" t="n">
        <v>0.8044</v>
      </c>
      <c r="C22" s="0" t="n">
        <v>307.413544</v>
      </c>
      <c r="D22" s="0" t="n">
        <v>0</v>
      </c>
      <c r="G22" s="0" t="n">
        <f aca="false">G21+2*10^-3</f>
        <v>0.04</v>
      </c>
      <c r="H22" s="0" t="n">
        <f aca="false">D105</f>
        <v>10.456032</v>
      </c>
      <c r="R22" s="0" t="s">
        <v>4</v>
      </c>
      <c r="S22" s="0" t="n">
        <v>10.3</v>
      </c>
    </row>
    <row r="23" customFormat="false" ht="14.25" hidden="false" customHeight="false" outlineLevel="0" collapsed="false">
      <c r="A23" s="0" t="n">
        <f aca="false">A22+20*10^-3</f>
        <v>0.422</v>
      </c>
      <c r="B23" s="0" t="n">
        <v>0.80432</v>
      </c>
      <c r="C23" s="0" t="n">
        <v>307.382935</v>
      </c>
      <c r="D23" s="0" t="n">
        <v>-0.030609</v>
      </c>
      <c r="G23" s="0" t="n">
        <f aca="false">G22+2*10^-3</f>
        <v>0.042</v>
      </c>
      <c r="H23" s="0" t="n">
        <f aca="false">D106</f>
        <v>10.33374</v>
      </c>
      <c r="R23" s="0" t="s">
        <v>5</v>
      </c>
      <c r="S23" s="1" t="n">
        <f aca="false">S22*0.63</f>
        <v>6.489</v>
      </c>
    </row>
    <row r="24" customFormat="false" ht="14.25" hidden="false" customHeight="false" outlineLevel="0" collapsed="false">
      <c r="A24" s="0" t="n">
        <f aca="false">A23+20*10^-3</f>
        <v>0.442</v>
      </c>
      <c r="B24" s="0" t="n">
        <v>0.8044</v>
      </c>
      <c r="C24" s="0" t="n">
        <v>307.413544</v>
      </c>
      <c r="D24" s="0" t="n">
        <v>0.030609</v>
      </c>
    </row>
    <row r="25" customFormat="false" ht="14.25" hidden="false" customHeight="false" outlineLevel="0" collapsed="false">
      <c r="A25" s="0" t="n">
        <f aca="false">A24+20*10^-3</f>
        <v>0.462</v>
      </c>
      <c r="B25" s="0" t="n">
        <v>0.80432</v>
      </c>
      <c r="C25" s="0" t="n">
        <v>307.382935</v>
      </c>
      <c r="D25" s="0" t="n">
        <v>-0.030609</v>
      </c>
      <c r="R25" s="0" t="s">
        <v>6</v>
      </c>
      <c r="S25" s="2" t="n">
        <v>0.0125</v>
      </c>
    </row>
    <row r="26" customFormat="false" ht="14.25" hidden="false" customHeight="false" outlineLevel="0" collapsed="false">
      <c r="A26" s="0" t="n">
        <f aca="false">A25+20*10^-3</f>
        <v>0.482</v>
      </c>
      <c r="B26" s="0" t="n">
        <v>0.8044</v>
      </c>
      <c r="C26" s="0" t="n">
        <v>307.413544</v>
      </c>
      <c r="D26" s="0" t="n">
        <v>0.030609</v>
      </c>
    </row>
    <row r="27" customFormat="false" ht="14.25" hidden="false" customHeight="false" outlineLevel="0" collapsed="false">
      <c r="A27" s="0" t="n">
        <f aca="false">A26+20*10^-3</f>
        <v>0.502</v>
      </c>
      <c r="B27" s="0" t="n">
        <v>0.80432</v>
      </c>
      <c r="C27" s="0" t="n">
        <v>307.382935</v>
      </c>
      <c r="D27" s="0" t="n">
        <v>-0.030609</v>
      </c>
    </row>
    <row r="28" customFormat="false" ht="14.25" hidden="false" customHeight="false" outlineLevel="0" collapsed="false">
      <c r="A28" s="0" t="n">
        <f aca="false">A27+20*10^-3</f>
        <v>0.522</v>
      </c>
      <c r="B28" s="0" t="n">
        <v>0.8044</v>
      </c>
      <c r="C28" s="0" t="n">
        <v>307.413544</v>
      </c>
      <c r="D28" s="0" t="n">
        <v>0.030609</v>
      </c>
      <c r="R28" s="0" t="s">
        <v>7</v>
      </c>
      <c r="S28" s="0" t="n">
        <v>2.25</v>
      </c>
    </row>
    <row r="29" customFormat="false" ht="14.25" hidden="false" customHeight="false" outlineLevel="0" collapsed="false">
      <c r="A29" s="0" t="n">
        <f aca="false">A28+20*10^-3</f>
        <v>0.542</v>
      </c>
      <c r="B29" s="0" t="n">
        <v>0.8044</v>
      </c>
      <c r="C29" s="0" t="n">
        <v>307.413544</v>
      </c>
      <c r="D29" s="0" t="n">
        <v>0</v>
      </c>
      <c r="R29" s="0" t="s">
        <v>8</v>
      </c>
      <c r="S29" s="0" t="n">
        <v>0.22</v>
      </c>
    </row>
    <row r="30" customFormat="false" ht="14.25" hidden="false" customHeight="false" outlineLevel="0" collapsed="false">
      <c r="A30" s="0" t="n">
        <f aca="false">A29+20*10^-3</f>
        <v>0.562</v>
      </c>
      <c r="B30" s="0" t="n">
        <v>0.8044</v>
      </c>
      <c r="C30" s="0" t="n">
        <v>307.413544</v>
      </c>
      <c r="D30" s="0" t="n">
        <v>0</v>
      </c>
      <c r="R30" s="0" t="s">
        <v>9</v>
      </c>
      <c r="S30" s="0" t="n">
        <v>0.123</v>
      </c>
    </row>
    <row r="31" customFormat="false" ht="14.25" hidden="false" customHeight="false" outlineLevel="0" collapsed="false">
      <c r="A31" s="0" t="n">
        <f aca="false">A30+20*10^-3</f>
        <v>0.582</v>
      </c>
      <c r="B31" s="0" t="n">
        <v>0.8044</v>
      </c>
      <c r="C31" s="0" t="n">
        <v>307.413544</v>
      </c>
      <c r="D31" s="0" t="n">
        <v>0</v>
      </c>
      <c r="R31" s="0" t="s">
        <v>10</v>
      </c>
      <c r="S31" s="0" t="n">
        <v>2.8</v>
      </c>
    </row>
    <row r="32" customFormat="false" ht="14.25" hidden="false" customHeight="false" outlineLevel="0" collapsed="false">
      <c r="A32" s="0" t="n">
        <f aca="false">A31+20*10^-3</f>
        <v>0.602</v>
      </c>
      <c r="B32" s="0" t="n">
        <v>0.8044</v>
      </c>
      <c r="C32" s="0" t="n">
        <v>307.413544</v>
      </c>
      <c r="D32" s="0" t="n">
        <v>0</v>
      </c>
    </row>
    <row r="33" customFormat="false" ht="14.25" hidden="false" customHeight="false" outlineLevel="0" collapsed="false">
      <c r="A33" s="0" t="n">
        <f aca="false">A32+20*10^-3</f>
        <v>0.622</v>
      </c>
      <c r="B33" s="0" t="n">
        <v>0.80432</v>
      </c>
      <c r="C33" s="0" t="n">
        <v>307.382935</v>
      </c>
      <c r="D33" s="0" t="n">
        <v>-0.030609</v>
      </c>
      <c r="R33" s="0" t="s">
        <v>11</v>
      </c>
      <c r="S33" s="0" t="n">
        <f aca="false">(S25*(S31*S30+S29*S28))/(S31)</f>
        <v>0.00374732142857143</v>
      </c>
    </row>
    <row r="34" customFormat="false" ht="14.25" hidden="false" customHeight="false" outlineLevel="0" collapsed="false">
      <c r="A34" s="0" t="n">
        <f aca="false">A33+20*10^-3</f>
        <v>0.642</v>
      </c>
      <c r="B34" s="0" t="n">
        <v>0.8044</v>
      </c>
      <c r="C34" s="0" t="n">
        <v>307.413544</v>
      </c>
      <c r="D34" s="0" t="n">
        <v>0.030609</v>
      </c>
    </row>
    <row r="35" customFormat="false" ht="14.25" hidden="false" customHeight="false" outlineLevel="0" collapsed="false">
      <c r="A35" s="0" t="n">
        <f aca="false">A34+20*10^-3</f>
        <v>0.662</v>
      </c>
      <c r="B35" s="0" t="n">
        <v>0.8044</v>
      </c>
      <c r="C35" s="0" t="n">
        <v>307.413544</v>
      </c>
      <c r="D35" s="0" t="n">
        <v>0</v>
      </c>
    </row>
    <row r="36" customFormat="false" ht="14.25" hidden="false" customHeight="false" outlineLevel="0" collapsed="false">
      <c r="A36" s="0" t="n">
        <f aca="false">A35+20*10^-3</f>
        <v>0.682</v>
      </c>
      <c r="B36" s="0" t="n">
        <v>0.80432</v>
      </c>
      <c r="C36" s="0" t="n">
        <v>307.382935</v>
      </c>
      <c r="D36" s="0" t="n">
        <v>-0.030609</v>
      </c>
    </row>
    <row r="37" customFormat="false" ht="14.25" hidden="false" customHeight="false" outlineLevel="0" collapsed="false">
      <c r="A37" s="0" t="n">
        <f aca="false">A36+20*10^-3</f>
        <v>0.702</v>
      </c>
      <c r="B37" s="0" t="n">
        <v>0.8044</v>
      </c>
      <c r="C37" s="0" t="n">
        <v>307.413544</v>
      </c>
      <c r="D37" s="0" t="n">
        <v>0.030609</v>
      </c>
    </row>
    <row r="38" customFormat="false" ht="14.25" hidden="false" customHeight="false" outlineLevel="0" collapsed="false">
      <c r="A38" s="0" t="n">
        <f aca="false">A37+20*10^-3</f>
        <v>0.722</v>
      </c>
      <c r="B38" s="0" t="n">
        <v>0.8044</v>
      </c>
      <c r="C38" s="0" t="n">
        <v>307.413544</v>
      </c>
      <c r="D38" s="0" t="n">
        <v>0</v>
      </c>
    </row>
    <row r="39" customFormat="false" ht="14.25" hidden="false" customHeight="false" outlineLevel="0" collapsed="false">
      <c r="A39" s="0" t="n">
        <f aca="false">A38+20*10^-3</f>
        <v>0.742</v>
      </c>
      <c r="B39" s="0" t="n">
        <v>0.80432</v>
      </c>
      <c r="C39" s="0" t="n">
        <v>307.382935</v>
      </c>
      <c r="D39" s="0" t="n">
        <v>-0.030609</v>
      </c>
    </row>
    <row r="40" customFormat="false" ht="14.25" hidden="false" customHeight="false" outlineLevel="0" collapsed="false">
      <c r="A40" s="0" t="n">
        <f aca="false">A39+20*10^-3</f>
        <v>0.762</v>
      </c>
      <c r="B40" s="0" t="n">
        <v>0.80432</v>
      </c>
      <c r="C40" s="0" t="n">
        <v>307.382935</v>
      </c>
      <c r="D40" s="0" t="n">
        <v>0</v>
      </c>
    </row>
    <row r="41" customFormat="false" ht="14.25" hidden="false" customHeight="false" outlineLevel="0" collapsed="false">
      <c r="A41" s="0" t="n">
        <f aca="false">A40+20*10^-3</f>
        <v>0.782</v>
      </c>
      <c r="B41" s="0" t="n">
        <v>0.80432</v>
      </c>
      <c r="C41" s="0" t="n">
        <v>307.382935</v>
      </c>
      <c r="D41" s="0" t="n">
        <v>0</v>
      </c>
    </row>
    <row r="42" customFormat="false" ht="14.25" hidden="false" customHeight="false" outlineLevel="0" collapsed="false">
      <c r="A42" s="0" t="n">
        <f aca="false">A41+20*10^-3</f>
        <v>0.802</v>
      </c>
      <c r="B42" s="0" t="n">
        <v>0.80376</v>
      </c>
      <c r="C42" s="0" t="n">
        <v>307.168945</v>
      </c>
      <c r="D42" s="0" t="n">
        <v>-0.213989</v>
      </c>
    </row>
    <row r="43" customFormat="false" ht="14.25" hidden="false" customHeight="false" outlineLevel="0" collapsed="false">
      <c r="A43" s="0" t="n">
        <f aca="false">A42+20*10^-3</f>
        <v>0.822</v>
      </c>
      <c r="B43" s="0" t="n">
        <v>0.8044</v>
      </c>
      <c r="C43" s="0" t="n">
        <v>307.413544</v>
      </c>
      <c r="D43" s="0" t="n">
        <v>0.244598</v>
      </c>
    </row>
    <row r="44" customFormat="false" ht="14.25" hidden="false" customHeight="false" outlineLevel="0" collapsed="false">
      <c r="A44" s="0" t="n">
        <f aca="false">A43+20*10^-3</f>
        <v>0.842</v>
      </c>
      <c r="B44" s="0" t="n">
        <v>0.8044</v>
      </c>
      <c r="C44" s="0" t="n">
        <v>307.413544</v>
      </c>
      <c r="D44" s="0" t="n">
        <v>0</v>
      </c>
    </row>
    <row r="45" customFormat="false" ht="14.25" hidden="false" customHeight="false" outlineLevel="0" collapsed="false">
      <c r="A45" s="0" t="n">
        <f aca="false">A44+20*10^-3</f>
        <v>0.862</v>
      </c>
      <c r="B45" s="0" t="n">
        <v>0.80392</v>
      </c>
      <c r="C45" s="0" t="n">
        <v>307.230072</v>
      </c>
      <c r="D45" s="0" t="n">
        <v>-0.183472</v>
      </c>
    </row>
    <row r="46" customFormat="false" ht="14.25" hidden="false" customHeight="false" outlineLevel="0" collapsed="false">
      <c r="A46" s="0" t="n">
        <f aca="false">A45+20*10^-3</f>
        <v>0.882000000000001</v>
      </c>
      <c r="B46" s="0" t="n">
        <v>0.8044</v>
      </c>
      <c r="C46" s="0" t="n">
        <v>307.413544</v>
      </c>
      <c r="D46" s="0" t="n">
        <v>0.183472</v>
      </c>
    </row>
    <row r="47" customFormat="false" ht="14.25" hidden="false" customHeight="false" outlineLevel="0" collapsed="false">
      <c r="A47" s="0" t="n">
        <f aca="false">A46+20*10^-3</f>
        <v>0.902000000000001</v>
      </c>
      <c r="B47" s="0" t="n">
        <v>0.80408</v>
      </c>
      <c r="C47" s="0" t="n">
        <v>307.291229</v>
      </c>
      <c r="D47" s="0" t="n">
        <v>-0.122314</v>
      </c>
    </row>
    <row r="48" customFormat="false" ht="14.25" hidden="false" customHeight="false" outlineLevel="0" collapsed="false">
      <c r="A48" s="0" t="n">
        <f aca="false">A47+20*10^-3</f>
        <v>0.922000000000001</v>
      </c>
      <c r="B48" s="0" t="n">
        <v>0.80424</v>
      </c>
      <c r="C48" s="0" t="n">
        <v>307.352386</v>
      </c>
      <c r="D48" s="0" t="n">
        <v>0.061157</v>
      </c>
    </row>
    <row r="49" customFormat="false" ht="14.25" hidden="false" customHeight="false" outlineLevel="0" collapsed="false">
      <c r="A49" s="0" t="n">
        <f aca="false">A48+20*10^-3</f>
        <v>0.942000000000001</v>
      </c>
      <c r="B49" s="0" t="n">
        <v>0.80432</v>
      </c>
      <c r="C49" s="0" t="n">
        <v>307.382935</v>
      </c>
      <c r="D49" s="0" t="n">
        <v>0.030548</v>
      </c>
    </row>
    <row r="50" customFormat="false" ht="14.25" hidden="false" customHeight="false" outlineLevel="0" collapsed="false">
      <c r="A50" s="0" t="n">
        <f aca="false">A49+20*10^-3</f>
        <v>0.962000000000001</v>
      </c>
      <c r="B50" s="0" t="n">
        <v>0.80432</v>
      </c>
      <c r="C50" s="0" t="n">
        <v>307.382935</v>
      </c>
      <c r="D50" s="0" t="n">
        <v>0</v>
      </c>
    </row>
    <row r="51" customFormat="false" ht="14.25" hidden="false" customHeight="false" outlineLevel="0" collapsed="false">
      <c r="A51" s="0" t="n">
        <f aca="false">A50+20*10^-3</f>
        <v>0.982000000000001</v>
      </c>
      <c r="B51" s="0" t="n">
        <v>0.80416</v>
      </c>
      <c r="C51" s="0" t="n">
        <v>307.321808</v>
      </c>
      <c r="D51" s="0" t="n">
        <v>-0.061127</v>
      </c>
    </row>
    <row r="52" customFormat="false" ht="14.25" hidden="false" customHeight="false" outlineLevel="0" collapsed="false">
      <c r="A52" s="0" t="n">
        <f aca="false">A51+20*10^-3</f>
        <v>1.002</v>
      </c>
      <c r="B52" s="0" t="n">
        <v>0.8044</v>
      </c>
      <c r="C52" s="0" t="n">
        <v>307.413544</v>
      </c>
      <c r="D52" s="0" t="n">
        <v>0.091736</v>
      </c>
    </row>
    <row r="53" customFormat="false" ht="14.25" hidden="false" customHeight="false" outlineLevel="0" collapsed="false">
      <c r="A53" s="0" t="n">
        <f aca="false">A52+20*10^-3</f>
        <v>1.022</v>
      </c>
      <c r="B53" s="0" t="n">
        <v>0.80424</v>
      </c>
      <c r="C53" s="0" t="n">
        <v>307.352386</v>
      </c>
      <c r="D53" s="0" t="n">
        <v>-0.061157</v>
      </c>
    </row>
    <row r="54" customFormat="false" ht="14.25" hidden="false" customHeight="false" outlineLevel="0" collapsed="false">
      <c r="A54" s="0" t="n">
        <f aca="false">A53+20*10^-3</f>
        <v>1.042</v>
      </c>
      <c r="B54" s="0" t="n">
        <v>0.80432</v>
      </c>
      <c r="C54" s="0" t="n">
        <v>307.382935</v>
      </c>
      <c r="D54" s="0" t="n">
        <v>0.030548</v>
      </c>
    </row>
    <row r="55" customFormat="false" ht="14.25" hidden="false" customHeight="false" outlineLevel="0" collapsed="false">
      <c r="A55" s="0" t="n">
        <f aca="false">A54+20*10^-3</f>
        <v>1.062</v>
      </c>
      <c r="B55" s="0" t="n">
        <v>0.8044</v>
      </c>
      <c r="C55" s="0" t="n">
        <v>307.413544</v>
      </c>
      <c r="D55" s="0" t="n">
        <v>0.030609</v>
      </c>
    </row>
    <row r="56" customFormat="false" ht="14.25" hidden="false" customHeight="false" outlineLevel="0" collapsed="false">
      <c r="A56" s="0" t="n">
        <f aca="false">A55+20*10^-3</f>
        <v>1.082</v>
      </c>
      <c r="B56" s="0" t="n">
        <v>0.80408</v>
      </c>
      <c r="C56" s="0" t="n">
        <v>307.291229</v>
      </c>
      <c r="D56" s="0" t="n">
        <v>-0.122314</v>
      </c>
    </row>
    <row r="57" customFormat="false" ht="14.25" hidden="false" customHeight="false" outlineLevel="0" collapsed="false">
      <c r="A57" s="0" t="n">
        <f aca="false">A56+20*10^-3</f>
        <v>1.102</v>
      </c>
      <c r="B57" s="0" t="n">
        <v>0.8044</v>
      </c>
      <c r="C57" s="0" t="n">
        <v>307.413544</v>
      </c>
      <c r="D57" s="0" t="n">
        <v>0.122314</v>
      </c>
    </row>
    <row r="58" customFormat="false" ht="14.25" hidden="false" customHeight="false" outlineLevel="0" collapsed="false">
      <c r="A58" s="0" t="n">
        <f aca="false">A57+20*10^-3</f>
        <v>1.122</v>
      </c>
      <c r="B58" s="0" t="n">
        <v>0.80432</v>
      </c>
      <c r="C58" s="0" t="n">
        <v>307.382935</v>
      </c>
      <c r="D58" s="0" t="n">
        <v>-0.030609</v>
      </c>
    </row>
    <row r="59" customFormat="false" ht="14.25" hidden="false" customHeight="false" outlineLevel="0" collapsed="false">
      <c r="A59" s="0" t="n">
        <f aca="false">A58+20*10^-3</f>
        <v>1.142</v>
      </c>
      <c r="B59" s="0" t="n">
        <v>0.80432</v>
      </c>
      <c r="C59" s="0" t="n">
        <v>307.382935</v>
      </c>
      <c r="D59" s="0" t="n">
        <v>0</v>
      </c>
    </row>
    <row r="60" customFormat="false" ht="14.25" hidden="false" customHeight="false" outlineLevel="0" collapsed="false">
      <c r="A60" s="0" t="n">
        <f aca="false">A59+20*10^-3</f>
        <v>1.162</v>
      </c>
      <c r="B60" s="0" t="n">
        <v>0.8044</v>
      </c>
      <c r="C60" s="0" t="n">
        <v>307.413544</v>
      </c>
      <c r="D60" s="0" t="n">
        <v>0.030609</v>
      </c>
    </row>
    <row r="61" customFormat="false" ht="14.25" hidden="false" customHeight="false" outlineLevel="0" collapsed="false">
      <c r="A61" s="0" t="n">
        <f aca="false">A60+20*10^-3</f>
        <v>1.182</v>
      </c>
      <c r="B61" s="0" t="n">
        <v>0.80432</v>
      </c>
      <c r="C61" s="0" t="n">
        <v>307.382935</v>
      </c>
      <c r="D61" s="0" t="n">
        <v>-0.030609</v>
      </c>
    </row>
    <row r="62" customFormat="false" ht="14.25" hidden="false" customHeight="false" outlineLevel="0" collapsed="false">
      <c r="A62" s="0" t="n">
        <f aca="false">A61+20*10^-3</f>
        <v>1.202</v>
      </c>
      <c r="B62" s="0" t="n">
        <v>0.80432</v>
      </c>
      <c r="C62" s="0" t="n">
        <v>307.382935</v>
      </c>
      <c r="D62" s="0" t="n">
        <v>0</v>
      </c>
    </row>
    <row r="63" customFormat="false" ht="14.25" hidden="false" customHeight="false" outlineLevel="0" collapsed="false">
      <c r="A63" s="0" t="n">
        <f aca="false">A62+20*10^-3</f>
        <v>1.222</v>
      </c>
      <c r="B63" s="0" t="n">
        <v>0.8044</v>
      </c>
      <c r="C63" s="0" t="n">
        <v>307.413544</v>
      </c>
      <c r="D63" s="0" t="n">
        <v>0.030609</v>
      </c>
    </row>
    <row r="64" customFormat="false" ht="14.25" hidden="false" customHeight="false" outlineLevel="0" collapsed="false">
      <c r="A64" s="0" t="n">
        <f aca="false">A63+20*10^-3</f>
        <v>1.242</v>
      </c>
      <c r="B64" s="0" t="n">
        <v>0.80424</v>
      </c>
      <c r="C64" s="0" t="n">
        <v>307.352386</v>
      </c>
      <c r="D64" s="0" t="n">
        <v>-0.061157</v>
      </c>
    </row>
    <row r="65" customFormat="false" ht="14.25" hidden="false" customHeight="false" outlineLevel="0" collapsed="false">
      <c r="A65" s="0" t="n">
        <f aca="false">A64+20*10^-3</f>
        <v>1.262</v>
      </c>
      <c r="B65" s="0" t="n">
        <v>0.8044</v>
      </c>
      <c r="C65" s="0" t="n">
        <v>307.413544</v>
      </c>
      <c r="D65" s="0" t="n">
        <v>0.061157</v>
      </c>
    </row>
    <row r="66" customFormat="false" ht="14.25" hidden="false" customHeight="false" outlineLevel="0" collapsed="false">
      <c r="A66" s="0" t="n">
        <f aca="false">A65+20*10^-3</f>
        <v>1.282</v>
      </c>
      <c r="B66" s="0" t="n">
        <v>0.80432</v>
      </c>
      <c r="C66" s="0" t="n">
        <v>307.382935</v>
      </c>
      <c r="D66" s="0" t="n">
        <v>-0.030609</v>
      </c>
    </row>
    <row r="67" customFormat="false" ht="14.25" hidden="false" customHeight="false" outlineLevel="0" collapsed="false">
      <c r="A67" s="0" t="n">
        <f aca="false">A66+20*10^-3</f>
        <v>1.302</v>
      </c>
      <c r="B67" s="0" t="n">
        <v>0.8044</v>
      </c>
      <c r="C67" s="0" t="n">
        <v>307.413544</v>
      </c>
      <c r="D67" s="0" t="n">
        <v>0.030609</v>
      </c>
    </row>
    <row r="68" customFormat="false" ht="14.25" hidden="false" customHeight="false" outlineLevel="0" collapsed="false">
      <c r="A68" s="0" t="n">
        <f aca="false">A67+20*10^-3</f>
        <v>1.322</v>
      </c>
      <c r="B68" s="0" t="n">
        <v>0.80432</v>
      </c>
      <c r="C68" s="0" t="n">
        <v>307.382935</v>
      </c>
      <c r="D68" s="0" t="n">
        <v>-0.030609</v>
      </c>
    </row>
    <row r="69" customFormat="false" ht="14.25" hidden="false" customHeight="false" outlineLevel="0" collapsed="false">
      <c r="A69" s="0" t="n">
        <f aca="false">A68+20*10^-3</f>
        <v>1.342</v>
      </c>
      <c r="B69" s="0" t="n">
        <v>0.8044</v>
      </c>
      <c r="C69" s="0" t="n">
        <v>307.413544</v>
      </c>
      <c r="D69" s="0" t="n">
        <v>0.030609</v>
      </c>
    </row>
    <row r="70" customFormat="false" ht="14.25" hidden="false" customHeight="false" outlineLevel="0" collapsed="false">
      <c r="A70" s="0" t="n">
        <f aca="false">A69+20*10^-3</f>
        <v>1.362</v>
      </c>
      <c r="B70" s="0" t="n">
        <v>0.8044</v>
      </c>
      <c r="C70" s="0" t="n">
        <v>307.413544</v>
      </c>
      <c r="D70" s="0" t="n">
        <v>0</v>
      </c>
    </row>
    <row r="71" customFormat="false" ht="14.25" hidden="false" customHeight="false" outlineLevel="0" collapsed="false">
      <c r="A71" s="0" t="n">
        <f aca="false">A70+20*10^-3</f>
        <v>1.382</v>
      </c>
      <c r="B71" s="0" t="n">
        <v>0.8044</v>
      </c>
      <c r="C71" s="0" t="n">
        <v>307.413544</v>
      </c>
      <c r="D71" s="0" t="n">
        <v>0</v>
      </c>
    </row>
    <row r="72" customFormat="false" ht="28.35" hidden="false" customHeight="false" outlineLevel="0" collapsed="false">
      <c r="A72" s="0" t="n">
        <f aca="false">A71+20*10^-3</f>
        <v>1.402</v>
      </c>
      <c r="B72" s="0" t="n">
        <v>0.80432</v>
      </c>
      <c r="C72" s="0" t="n">
        <v>307.382935</v>
      </c>
      <c r="D72" s="0" t="n">
        <v>-0.030609</v>
      </c>
      <c r="H72" s="3" t="s">
        <v>12</v>
      </c>
    </row>
    <row r="73" customFormat="false" ht="14.25" hidden="false" customHeight="false" outlineLevel="0" collapsed="false">
      <c r="A73" s="0" t="n">
        <f aca="false">A72+20*10^-3</f>
        <v>1.422</v>
      </c>
      <c r="B73" s="0" t="n">
        <v>0.8044</v>
      </c>
      <c r="C73" s="0" t="n">
        <v>307.413544</v>
      </c>
      <c r="D73" s="0" t="n">
        <v>0.030609</v>
      </c>
    </row>
    <row r="74" customFormat="false" ht="14.25" hidden="false" customHeight="false" outlineLevel="0" collapsed="false">
      <c r="A74" s="0" t="n">
        <f aca="false">A73+20*10^-3</f>
        <v>1.442</v>
      </c>
      <c r="B74" s="0" t="n">
        <v>0.8044</v>
      </c>
      <c r="C74" s="0" t="n">
        <v>307.413544</v>
      </c>
      <c r="D74" s="0" t="n">
        <v>0</v>
      </c>
    </row>
    <row r="75" customFormat="false" ht="14.25" hidden="false" customHeight="false" outlineLevel="0" collapsed="false">
      <c r="A75" s="0" t="n">
        <f aca="false">A74+20*10^-3</f>
        <v>1.462</v>
      </c>
      <c r="B75" s="0" t="n">
        <v>0.8044</v>
      </c>
      <c r="C75" s="0" t="n">
        <v>307.413544</v>
      </c>
      <c r="D75" s="0" t="n">
        <v>0</v>
      </c>
    </row>
    <row r="76" customFormat="false" ht="14.25" hidden="false" customHeight="false" outlineLevel="0" collapsed="false">
      <c r="A76" s="0" t="n">
        <f aca="false">A75+20*10^-3</f>
        <v>1.482</v>
      </c>
      <c r="B76" s="0" t="n">
        <v>0.80344</v>
      </c>
      <c r="C76" s="0" t="n">
        <v>307.046631</v>
      </c>
      <c r="D76" s="0" t="n">
        <v>-0.366913</v>
      </c>
    </row>
    <row r="77" customFormat="false" ht="14.25" hidden="false" customHeight="false" outlineLevel="0" collapsed="false">
      <c r="A77" s="0" t="n">
        <f aca="false">A76+20*10^-3</f>
        <v>1.502</v>
      </c>
      <c r="B77" s="0" t="n">
        <v>0.80416</v>
      </c>
      <c r="C77" s="0" t="n">
        <v>307.321808</v>
      </c>
      <c r="D77" s="0" t="n">
        <v>0.275177</v>
      </c>
      <c r="G77" s="0" t="n">
        <f aca="false">0.012*3</f>
        <v>0.036</v>
      </c>
    </row>
    <row r="78" customFormat="false" ht="14.25" hidden="false" customHeight="false" outlineLevel="0" collapsed="false">
      <c r="A78" s="0" t="n">
        <f aca="false">A77+20*10^-3</f>
        <v>1.522</v>
      </c>
      <c r="B78" s="0" t="n">
        <v>0.80384</v>
      </c>
      <c r="C78" s="0" t="n">
        <v>307.199493</v>
      </c>
      <c r="D78" s="0" t="n">
        <v>-0.122314</v>
      </c>
    </row>
    <row r="79" customFormat="false" ht="14.25" hidden="false" customHeight="false" outlineLevel="0" collapsed="false">
      <c r="A79" s="0" t="n">
        <f aca="false">A78+20*10^-3</f>
        <v>1.542</v>
      </c>
      <c r="B79" s="0" t="n">
        <v>0.80424</v>
      </c>
      <c r="C79" s="0" t="n">
        <v>307.352386</v>
      </c>
      <c r="D79" s="0" t="n">
        <v>0.152893</v>
      </c>
    </row>
    <row r="80" customFormat="false" ht="14.25" hidden="false" customHeight="false" outlineLevel="0" collapsed="false">
      <c r="A80" s="0" t="n">
        <f aca="false">A79+20*10^-3</f>
        <v>1.562</v>
      </c>
      <c r="B80" s="0" t="n">
        <v>0.80408</v>
      </c>
      <c r="C80" s="0" t="n">
        <v>307.291229</v>
      </c>
      <c r="D80" s="0" t="n">
        <v>-0.061157</v>
      </c>
      <c r="H80" s="0" t="n">
        <f aca="false">PI()</f>
        <v>3.14159265358979</v>
      </c>
    </row>
    <row r="81" customFormat="false" ht="14.25" hidden="false" customHeight="false" outlineLevel="0" collapsed="false">
      <c r="A81" s="0" t="n">
        <f aca="false">A80+20*10^-3</f>
        <v>1.582</v>
      </c>
      <c r="B81" s="0" t="n">
        <v>0.80432</v>
      </c>
      <c r="C81" s="0" t="n">
        <v>307.382935</v>
      </c>
      <c r="D81" s="0" t="n">
        <v>0.091705</v>
      </c>
    </row>
    <row r="82" customFormat="false" ht="14.25" hidden="false" customHeight="false" outlineLevel="0" collapsed="false">
      <c r="A82" s="0" t="n">
        <f aca="false">A81+20*10^-3</f>
        <v>1.602</v>
      </c>
      <c r="B82" s="0" t="n">
        <v>0.80432</v>
      </c>
      <c r="C82" s="0" t="n">
        <v>307.382935</v>
      </c>
      <c r="D82" s="0" t="n">
        <v>0</v>
      </c>
      <c r="E82" s="4" t="n">
        <f aca="false">C82*0.01745</f>
        <v>5.36383221575</v>
      </c>
      <c r="F82" s="0" t="n">
        <f aca="false">(E83-E82)/0.012</f>
        <v>-0.266755241666565</v>
      </c>
      <c r="G82" s="0" t="n">
        <v>0.012</v>
      </c>
    </row>
    <row r="83" customFormat="false" ht="14.25" hidden="false" customHeight="false" outlineLevel="0" collapsed="false">
      <c r="A83" s="0" t="n">
        <f aca="false">A82+20*10^-3</f>
        <v>1.622</v>
      </c>
      <c r="B83" s="0" t="n">
        <v>0.80384</v>
      </c>
      <c r="C83" s="0" t="n">
        <v>307.199493</v>
      </c>
      <c r="D83" s="0" t="n">
        <v>-0.183441</v>
      </c>
      <c r="E83" s="4" t="n">
        <f aca="false">C83*0.01745</f>
        <v>5.36063115285</v>
      </c>
      <c r="F83" s="0" t="n">
        <f aca="false">(E84-E83)/0.012</f>
        <v>0.266755241666565</v>
      </c>
      <c r="G83" s="0" t="n">
        <v>0.024</v>
      </c>
    </row>
    <row r="84" customFormat="false" ht="14.25" hidden="false" customHeight="false" outlineLevel="0" collapsed="false">
      <c r="A84" s="0" t="n">
        <f aca="false">A83+20*10^-3</f>
        <v>1.642</v>
      </c>
      <c r="B84" s="0" t="n">
        <v>0.80432</v>
      </c>
      <c r="C84" s="0" t="n">
        <v>307.382935</v>
      </c>
      <c r="D84" s="0" t="n">
        <v>0.183441</v>
      </c>
      <c r="E84" s="4" t="n">
        <f aca="false">C84*0.01745</f>
        <v>5.36383221575</v>
      </c>
      <c r="F84" s="0" t="n">
        <f aca="false">(E85-E84)/0.012</f>
        <v>-0.400109595833253</v>
      </c>
      <c r="G84" s="0" t="n">
        <v>0.036</v>
      </c>
    </row>
    <row r="85" customFormat="false" ht="14.25" hidden="false" customHeight="false" outlineLevel="0" collapsed="false">
      <c r="A85" s="0" t="n">
        <f aca="false">A84+20*10^-3</f>
        <v>1.662</v>
      </c>
      <c r="B85" s="0" t="n">
        <v>0.8036</v>
      </c>
      <c r="C85" s="0" t="n">
        <v>307.107788</v>
      </c>
      <c r="D85" s="0" t="n">
        <v>-0.275146</v>
      </c>
      <c r="E85" s="4" t="n">
        <f aca="false">C85*0.01745</f>
        <v>5.3590309006</v>
      </c>
      <c r="F85" s="0" t="n">
        <f aca="false">(E86-E85)/0.012</f>
        <v>0.533507574999999</v>
      </c>
      <c r="G85" s="0" t="n">
        <v>0.048</v>
      </c>
    </row>
    <row r="86" customFormat="false" ht="14.25" hidden="false" customHeight="false" outlineLevel="0" collapsed="false">
      <c r="A86" s="0" t="n">
        <f aca="false">A85+20*10^-3</f>
        <v>1.682</v>
      </c>
      <c r="B86" s="0" t="n">
        <v>0.80456</v>
      </c>
      <c r="C86" s="0" t="n">
        <v>307.47467</v>
      </c>
      <c r="D86" s="0" t="n">
        <v>0.366882</v>
      </c>
      <c r="E86" s="4" t="n">
        <f aca="false">C86*0.01745</f>
        <v>5.3654329915</v>
      </c>
      <c r="F86" s="0" t="n">
        <f aca="false">(E87-E86)/0.012</f>
        <v>3.42333663749998</v>
      </c>
      <c r="G86" s="0" t="n">
        <v>0.06</v>
      </c>
    </row>
    <row r="87" customFormat="false" ht="14.25" hidden="false" customHeight="false" outlineLevel="0" collapsed="false">
      <c r="A87" s="0" t="n">
        <f aca="false">A86+20*10^-3</f>
        <v>1.702</v>
      </c>
      <c r="B87" s="0" t="n">
        <v>0.81072</v>
      </c>
      <c r="C87" s="0" t="n">
        <v>309.828827</v>
      </c>
      <c r="D87" s="0" t="n">
        <v>2.354156</v>
      </c>
      <c r="E87" s="4" t="n">
        <f aca="false">C87*0.01745</f>
        <v>5.40651303115</v>
      </c>
      <c r="F87" s="0" t="n">
        <f aca="false">(E88-E87)/0.012</f>
        <v>4.66812802499998</v>
      </c>
      <c r="G87" s="0" t="n">
        <v>0.072</v>
      </c>
    </row>
    <row r="88" customFormat="false" ht="14.25" hidden="false" customHeight="false" outlineLevel="0" collapsed="false">
      <c r="A88" s="0" t="n">
        <f aca="false">A87+20*10^-3</f>
        <v>1.722</v>
      </c>
      <c r="B88" s="0" t="n">
        <v>0.81912</v>
      </c>
      <c r="C88" s="0" t="n">
        <v>313.039001</v>
      </c>
      <c r="D88" s="0" t="n">
        <v>3.210175</v>
      </c>
      <c r="E88" s="4" t="n">
        <f aca="false">C88*0.01745</f>
        <v>5.46253056745</v>
      </c>
      <c r="F88" s="0" t="n">
        <f aca="false">(E89-E88)/0.012</f>
        <v>6.53540744583333</v>
      </c>
      <c r="G88" s="0" t="n">
        <v>0.084</v>
      </c>
    </row>
    <row r="89" customFormat="false" ht="14.25" hidden="false" customHeight="false" outlineLevel="0" collapsed="false">
      <c r="A89" s="0" t="n">
        <f aca="false">A88+20*10^-3</f>
        <v>1.742</v>
      </c>
      <c r="B89" s="0" t="n">
        <v>0.83088</v>
      </c>
      <c r="C89" s="0" t="n">
        <v>317.533264</v>
      </c>
      <c r="D89" s="0" t="n">
        <v>4.494263</v>
      </c>
      <c r="E89" s="4" t="n">
        <f aca="false">C89*0.01745</f>
        <v>5.5409554568</v>
      </c>
      <c r="F89" s="0" t="n">
        <f aca="false">(E90-E89)/0.012</f>
        <v>8.00253219166665</v>
      </c>
      <c r="G89" s="0" t="n">
        <v>0.096</v>
      </c>
    </row>
    <row r="90" customFormat="false" ht="14.25" hidden="false" customHeight="false" outlineLevel="0" collapsed="false">
      <c r="A90" s="0" t="n">
        <f aca="false">A89+20*10^-3</f>
        <v>1.762</v>
      </c>
      <c r="B90" s="0" t="n">
        <v>0.84528</v>
      </c>
      <c r="C90" s="0" t="n">
        <v>323.036438</v>
      </c>
      <c r="D90" s="0" t="n">
        <v>5.503174</v>
      </c>
      <c r="E90" s="4" t="n">
        <f aca="false">C90*0.01745</f>
        <v>5.6369858431</v>
      </c>
      <c r="F90" s="0" t="n">
        <f aca="false">(E91-E90)/0.012</f>
        <v>8.93614936250005</v>
      </c>
      <c r="G90" s="0" t="n">
        <v>0.108</v>
      </c>
    </row>
    <row r="91" customFormat="false" ht="14.25" hidden="false" customHeight="false" outlineLevel="0" collapsed="false">
      <c r="A91" s="0" t="n">
        <f aca="false">A90+20*10^-3</f>
        <v>1.782</v>
      </c>
      <c r="B91" s="0" t="n">
        <v>0.86136</v>
      </c>
      <c r="C91" s="0" t="n">
        <v>329.181641</v>
      </c>
      <c r="D91" s="0" t="n">
        <v>6.145203</v>
      </c>
      <c r="E91" s="4" t="n">
        <f aca="false">C91*0.01745</f>
        <v>5.74421963545</v>
      </c>
      <c r="F91" s="0" t="n">
        <f aca="false">(E92-E91)/0.012</f>
        <v>10.3588507708333</v>
      </c>
      <c r="G91" s="0" t="n">
        <v>0.12</v>
      </c>
    </row>
    <row r="92" customFormat="false" ht="14.25" hidden="false" customHeight="false" outlineLevel="0" collapsed="false">
      <c r="A92" s="0" t="n">
        <f aca="false">A91+20*10^-3</f>
        <v>1.802</v>
      </c>
      <c r="B92" s="0" t="n">
        <v>0.88</v>
      </c>
      <c r="C92" s="0" t="n">
        <v>336.305206</v>
      </c>
      <c r="D92" s="0" t="n">
        <v>7.123566</v>
      </c>
      <c r="E92" s="4" t="n">
        <f aca="false">C92*0.01745</f>
        <v>5.8685258447</v>
      </c>
      <c r="F92" s="0" t="n">
        <f aca="false">(E93-E92)/0.012</f>
        <v>11.4702907125</v>
      </c>
      <c r="G92" s="0" t="n">
        <v>0.132</v>
      </c>
    </row>
    <row r="93" customFormat="false" ht="14.25" hidden="false" customHeight="false" outlineLevel="0" collapsed="false">
      <c r="A93" s="0" t="n">
        <f aca="false">A92+20*10^-3</f>
        <v>1.822</v>
      </c>
      <c r="B93" s="0" t="n">
        <v>0.90064</v>
      </c>
      <c r="C93" s="0" t="n">
        <v>344.193085</v>
      </c>
      <c r="D93" s="0" t="n">
        <v>7.887878</v>
      </c>
      <c r="E93" s="4" t="n">
        <f aca="false">C93*0.01745</f>
        <v>6.00616933325</v>
      </c>
      <c r="F93" s="0" t="n">
        <f aca="false">(E94-E93)/0.012</f>
        <v>13.6043210125</v>
      </c>
      <c r="G93" s="0" t="n">
        <v>0.144</v>
      </c>
    </row>
    <row r="94" customFormat="false" ht="14.25" hidden="false" customHeight="false" outlineLevel="0" collapsed="false">
      <c r="A94" s="0" t="n">
        <f aca="false">A93+20*10^-3</f>
        <v>1.842</v>
      </c>
      <c r="B94" s="0" t="n">
        <v>0.92512</v>
      </c>
      <c r="C94" s="0" t="n">
        <v>353.548492</v>
      </c>
      <c r="D94" s="0" t="n">
        <v>9.355408</v>
      </c>
      <c r="E94" s="4" t="n">
        <f aca="false">C94*0.01745</f>
        <v>6.1694211854</v>
      </c>
      <c r="F94" s="0" t="n">
        <f aca="false">(E95-E94)/0.012</f>
        <v>13.4709230333333</v>
      </c>
      <c r="G94" s="0" t="n">
        <v>0.156</v>
      </c>
    </row>
    <row r="95" customFormat="false" ht="14.25" hidden="false" customHeight="false" outlineLevel="0" collapsed="false">
      <c r="A95" s="0" t="n">
        <f aca="false">A94+20*10^-3</f>
        <v>1.862</v>
      </c>
      <c r="B95" s="0" t="n">
        <v>0.94936</v>
      </c>
      <c r="C95" s="0" t="n">
        <v>362.812164</v>
      </c>
      <c r="D95" s="0" t="n">
        <v>9.263672</v>
      </c>
      <c r="E95" s="4" t="n">
        <f aca="false">C95*0.01745</f>
        <v>6.3310722618</v>
      </c>
      <c r="F95" s="0" t="n">
        <v>13.8</v>
      </c>
      <c r="G95" s="0" t="n">
        <v>0.168</v>
      </c>
    </row>
    <row r="96" customFormat="false" ht="14.25" hidden="false" customHeight="false" outlineLevel="0" collapsed="false">
      <c r="A96" s="0" t="n">
        <f aca="false">A95+20*10^-3</f>
        <v>1.882</v>
      </c>
      <c r="B96" s="0" t="n">
        <v>0.4584</v>
      </c>
      <c r="C96" s="0" t="n">
        <v>175.184433</v>
      </c>
      <c r="E96" s="4" t="n">
        <f aca="false">C96*0.01745</f>
        <v>3.05696835585</v>
      </c>
      <c r="F96" s="0" t="n">
        <v>14.3</v>
      </c>
      <c r="G96" s="0" t="n">
        <v>0.18</v>
      </c>
    </row>
    <row r="97" customFormat="false" ht="14.25" hidden="false" customHeight="false" outlineLevel="0" collapsed="false">
      <c r="A97" s="0" t="n">
        <f aca="false">A96+20*10^-3</f>
        <v>1.902</v>
      </c>
      <c r="B97" s="0" t="n">
        <v>0.05928</v>
      </c>
      <c r="C97" s="0" t="n">
        <v>22.654741</v>
      </c>
      <c r="E97" s="4" t="n">
        <f aca="false">C97*0.01745</f>
        <v>0.39532523045</v>
      </c>
      <c r="F97" s="0" t="n">
        <f aca="false">(E98-E97)/0.012</f>
        <v>14.4490202541667</v>
      </c>
      <c r="G97" s="0" t="n">
        <v>0.192</v>
      </c>
    </row>
    <row r="98" customFormat="false" ht="14.25" hidden="false" customHeight="false" outlineLevel="0" collapsed="false">
      <c r="A98" s="0" t="n">
        <f aca="false">A97+20*10^-3</f>
        <v>1.922</v>
      </c>
      <c r="B98" s="0" t="n">
        <v>0.08528</v>
      </c>
      <c r="C98" s="0" t="n">
        <v>32.59103</v>
      </c>
      <c r="D98" s="0" t="n">
        <v>9.936289</v>
      </c>
      <c r="E98" s="4" t="n">
        <f aca="false">C98*0.01745</f>
        <v>0.5687134735</v>
      </c>
      <c r="F98" s="0" t="n">
        <f aca="false">(E99-E98)/0.012</f>
        <v>14.804693425</v>
      </c>
      <c r="G98" s="0" t="n">
        <v>0.204</v>
      </c>
    </row>
    <row r="99" customFormat="false" ht="14.25" hidden="false" customHeight="false" outlineLevel="0" collapsed="false">
      <c r="A99" s="0" t="n">
        <f aca="false">A98+20*10^-3</f>
        <v>1.942</v>
      </c>
      <c r="B99" s="0" t="n">
        <v>0.11192</v>
      </c>
      <c r="C99" s="0" t="n">
        <v>42.771908</v>
      </c>
      <c r="D99" s="0" t="n">
        <v>10.180878</v>
      </c>
      <c r="E99" s="4" t="n">
        <f aca="false">C99*0.01745</f>
        <v>0.7463697946</v>
      </c>
      <c r="F99" s="0" t="n">
        <f aca="false">(E100-E99)/0.012</f>
        <v>14.6713099875</v>
      </c>
      <c r="G99" s="0" t="n">
        <v>0.216</v>
      </c>
    </row>
    <row r="100" customFormat="false" ht="14.25" hidden="false" customHeight="false" outlineLevel="0" collapsed="false">
      <c r="A100" s="0" t="n">
        <f aca="false">A99+20*10^-3</f>
        <v>1.962</v>
      </c>
      <c r="B100" s="0" t="n">
        <v>0.13832</v>
      </c>
      <c r="C100" s="0" t="n">
        <v>52.861061</v>
      </c>
      <c r="D100" s="0" t="n">
        <v>10.089153</v>
      </c>
      <c r="E100" s="4" t="n">
        <f aca="false">C100*0.01745</f>
        <v>0.92242551445</v>
      </c>
      <c r="F100" s="0" t="n">
        <f aca="false">(E101-E100)/0.012</f>
        <v>14.9825249208333</v>
      </c>
      <c r="G100" s="0" t="n">
        <v>0.228</v>
      </c>
    </row>
    <row r="101" customFormat="false" ht="14.25" hidden="false" customHeight="false" outlineLevel="0" collapsed="false">
      <c r="A101" s="0" t="n">
        <f aca="false">A100+20*10^-3</f>
        <v>1.982</v>
      </c>
      <c r="B101" s="0" t="n">
        <v>0.16528</v>
      </c>
      <c r="C101" s="0" t="n">
        <v>63.16423</v>
      </c>
      <c r="D101" s="0" t="n">
        <v>10.303169</v>
      </c>
      <c r="E101" s="4" t="n">
        <f aca="false">C101*0.01745</f>
        <v>1.1022158135</v>
      </c>
      <c r="F101" s="0" t="n">
        <f aca="false">(E102-E101)/0.012</f>
        <v>15.0269817041667</v>
      </c>
      <c r="G101" s="0" t="n">
        <v>0.24</v>
      </c>
    </row>
    <row r="102" customFormat="false" ht="14.25" hidden="false" customHeight="false" outlineLevel="0" collapsed="false">
      <c r="A102" s="0" t="n">
        <f aca="false">A101+20*10^-3</f>
        <v>2.002</v>
      </c>
      <c r="B102" s="0" t="n">
        <v>0.19232</v>
      </c>
      <c r="C102" s="0" t="n">
        <v>73.497971</v>
      </c>
      <c r="D102" s="0" t="n">
        <v>10.33374</v>
      </c>
      <c r="E102" s="4" t="n">
        <f aca="false">C102*0.01745</f>
        <v>1.28253959395</v>
      </c>
      <c r="F102" s="0" t="n">
        <f aca="false">(E103-E102)/0.012</f>
        <v>15.2937340375</v>
      </c>
      <c r="G102" s="0" t="n">
        <v>0.252</v>
      </c>
    </row>
    <row r="103" customFormat="false" ht="14.25" hidden="false" customHeight="false" outlineLevel="0" collapsed="false">
      <c r="A103" s="0" t="n">
        <f aca="false">A102+20*10^-3</f>
        <v>2.022</v>
      </c>
      <c r="B103" s="0" t="n">
        <v>0.21984</v>
      </c>
      <c r="C103" s="0" t="n">
        <v>84.015152</v>
      </c>
      <c r="D103" s="0" t="n">
        <v>10.517181</v>
      </c>
      <c r="E103" s="4" t="n">
        <f aca="false">C103*0.01745</f>
        <v>1.4660644024</v>
      </c>
      <c r="F103" s="0" t="n">
        <f aca="false">(E104-E103)/0.012</f>
        <v>15.1603578708333</v>
      </c>
      <c r="G103" s="0" t="n">
        <v>0.264</v>
      </c>
    </row>
    <row r="104" customFormat="false" ht="14.25" hidden="false" customHeight="false" outlineLevel="0" collapsed="false">
      <c r="A104" s="0" t="n">
        <f aca="false">A103+20*10^-3</f>
        <v>2.042</v>
      </c>
      <c r="B104" s="0" t="n">
        <v>0.24712</v>
      </c>
      <c r="C104" s="0" t="n">
        <v>94.440613</v>
      </c>
      <c r="D104" s="0" t="n">
        <v>10.425461</v>
      </c>
      <c r="E104" s="4" t="n">
        <f aca="false">C104*0.01745</f>
        <v>1.64798869685</v>
      </c>
      <c r="F104" s="0" t="n">
        <f aca="false">(E105-E104)/0.012</f>
        <v>15.2048132</v>
      </c>
      <c r="G104" s="0" t="n">
        <v>0.276</v>
      </c>
    </row>
    <row r="105" customFormat="false" ht="14.25" hidden="false" customHeight="false" outlineLevel="0" collapsed="false">
      <c r="A105" s="0" t="n">
        <f aca="false">A104+20*10^-3</f>
        <v>2.062</v>
      </c>
      <c r="B105" s="0" t="n">
        <v>0.27448</v>
      </c>
      <c r="C105" s="0" t="n">
        <v>104.896645</v>
      </c>
      <c r="D105" s="0" t="n">
        <v>10.456032</v>
      </c>
      <c r="E105" s="4" t="n">
        <f aca="false">C105*0.01745</f>
        <v>1.83044645525</v>
      </c>
      <c r="F105" s="0" t="n">
        <f aca="false">(E106-E105)/0.012</f>
        <v>15.02698025</v>
      </c>
      <c r="G105" s="0" t="n">
        <v>0.288</v>
      </c>
    </row>
    <row r="106" customFormat="false" ht="14.25" hidden="false" customHeight="false" outlineLevel="0" collapsed="false">
      <c r="A106" s="0" t="n">
        <f aca="false">A105+20*10^-3</f>
        <v>2.082</v>
      </c>
      <c r="B106" s="0" t="n">
        <v>0.30152</v>
      </c>
      <c r="C106" s="0" t="n">
        <v>115.230385</v>
      </c>
      <c r="D106" s="0" t="n">
        <v>10.33374</v>
      </c>
      <c r="E106" s="4" t="n">
        <f aca="false">C106*0.01745</f>
        <v>2.01077021825</v>
      </c>
      <c r="F106" s="0" t="n">
        <f aca="false">(E107-E106)/0.012</f>
        <v>15.1159127208333</v>
      </c>
      <c r="G106" s="0" t="n">
        <v>0.3</v>
      </c>
    </row>
    <row r="107" customFormat="false" ht="14.25" hidden="false" customHeight="false" outlineLevel="0" collapsed="false">
      <c r="A107" s="0" t="n">
        <f aca="false">A106+20*10^-3</f>
        <v>2.102</v>
      </c>
      <c r="B107" s="0" t="n">
        <v>0.32872</v>
      </c>
      <c r="C107" s="0" t="n">
        <v>125.625282</v>
      </c>
      <c r="D107" s="0" t="n">
        <v>10.394897</v>
      </c>
      <c r="E107" s="4" t="n">
        <f aca="false">C107*0.01745</f>
        <v>2.1921611709</v>
      </c>
      <c r="F107" s="0" t="n">
        <f aca="false">(E108-E107)/0.012</f>
        <v>15.3381908208333</v>
      </c>
      <c r="G107" s="0" t="n">
        <v>0.312</v>
      </c>
    </row>
    <row r="108" customFormat="false" ht="14.25" hidden="false" customHeight="false" outlineLevel="0" collapsed="false">
      <c r="A108" s="0" t="n">
        <f aca="false">A107+20*10^-3</f>
        <v>2.122</v>
      </c>
      <c r="B108" s="0" t="n">
        <v>0.35632</v>
      </c>
      <c r="C108" s="0" t="n">
        <v>136.173035</v>
      </c>
      <c r="D108" s="0" t="n">
        <v>10.547752</v>
      </c>
      <c r="E108" s="4" t="n">
        <f aca="false">C108*0.01745</f>
        <v>2.37621946075</v>
      </c>
      <c r="F108" s="0" t="n">
        <f aca="false">(E109-E108)/0.012</f>
        <v>14.8491589333333</v>
      </c>
      <c r="G108" s="0" t="n">
        <v>0.324</v>
      </c>
    </row>
    <row r="109" customFormat="false" ht="14.25" hidden="false" customHeight="false" outlineLevel="0" collapsed="false">
      <c r="A109" s="0" t="n">
        <f aca="false">A108+20*10^-3</f>
        <v>2.142</v>
      </c>
      <c r="B109" s="0" t="n">
        <v>0.38304</v>
      </c>
      <c r="C109" s="0" t="n">
        <v>146.384491</v>
      </c>
      <c r="D109" s="0" t="n">
        <v>10.211456</v>
      </c>
      <c r="E109" s="4" t="n">
        <f aca="false">C109*0.01745</f>
        <v>2.55440936795</v>
      </c>
      <c r="F109" s="0" t="n">
        <f aca="false">(E110-E109)/0.012</f>
        <v>14.8491371208334</v>
      </c>
      <c r="G109" s="0" t="n">
        <v>0.336</v>
      </c>
    </row>
    <row r="110" customFormat="false" ht="14.25" hidden="false" customHeight="false" outlineLevel="0" collapsed="false">
      <c r="A110" s="0" t="n">
        <f aca="false">A109+20*10^-3</f>
        <v>2.162</v>
      </c>
      <c r="B110" s="0" t="n">
        <v>0.40976</v>
      </c>
      <c r="C110" s="0" t="n">
        <v>156.595932</v>
      </c>
      <c r="D110" s="0" t="n">
        <v>10.211441</v>
      </c>
      <c r="E110" s="4" t="n">
        <f aca="false">C110*0.01745</f>
        <v>2.7325990134</v>
      </c>
      <c r="F110" s="0" t="n">
        <f aca="false">(E111-E110)/0.012</f>
        <v>15.02698025</v>
      </c>
      <c r="G110" s="0" t="n">
        <v>0.348</v>
      </c>
    </row>
    <row r="111" customFormat="false" ht="14.25" hidden="false" customHeight="false" outlineLevel="0" collapsed="false">
      <c r="A111" s="0" t="n">
        <f aca="false">A110+20*10^-3</f>
        <v>2.182</v>
      </c>
      <c r="B111" s="0" t="n">
        <v>0.4368</v>
      </c>
      <c r="C111" s="0" t="n">
        <v>166.929672</v>
      </c>
      <c r="D111" s="0" t="n">
        <v>10.33374</v>
      </c>
      <c r="E111" s="4" t="n">
        <f aca="false">C111*0.01745</f>
        <v>2.9129227764</v>
      </c>
      <c r="F111" s="0" t="n">
        <f aca="false">(E112-E111)/0.012</f>
        <v>15.0714472125</v>
      </c>
      <c r="G111" s="0" t="n">
        <v>0.36</v>
      </c>
    </row>
    <row r="112" customFormat="false" ht="14.25" hidden="false" customHeight="false" outlineLevel="0" collapsed="false">
      <c r="A112" s="0" t="n">
        <f aca="false">A111+20*10^-3</f>
        <v>2.202</v>
      </c>
      <c r="B112" s="0" t="n">
        <v>0.46392</v>
      </c>
      <c r="C112" s="0" t="n">
        <v>177.293991</v>
      </c>
      <c r="D112" s="0" t="n">
        <v>10.364319</v>
      </c>
      <c r="E112" s="4" t="n">
        <f aca="false">C112*0.01745</f>
        <v>3.09378014295</v>
      </c>
      <c r="F112" s="0" t="n">
        <f aca="false">(E113-E112)/0.012</f>
        <v>15.02698025</v>
      </c>
      <c r="G112" s="0" t="n">
        <v>0.372</v>
      </c>
    </row>
    <row r="113" customFormat="false" ht="14.25" hidden="false" customHeight="false" outlineLevel="0" collapsed="false">
      <c r="A113" s="0" t="n">
        <f aca="false">A112+20*10^-3</f>
        <v>2.222</v>
      </c>
      <c r="B113" s="0" t="n">
        <v>0.49096</v>
      </c>
      <c r="C113" s="0" t="n">
        <v>187.627731</v>
      </c>
      <c r="D113" s="0" t="n">
        <v>10.33374</v>
      </c>
      <c r="E113" s="4" t="n">
        <f aca="false">C113*0.01745</f>
        <v>3.27410390595</v>
      </c>
      <c r="F113" s="0" t="n">
        <f aca="false">(E114-E113)/0.012</f>
        <v>15.0714254</v>
      </c>
      <c r="G113" s="0" t="n">
        <v>0.384</v>
      </c>
    </row>
    <row r="114" customFormat="false" ht="14.25" hidden="false" customHeight="false" outlineLevel="0" collapsed="false">
      <c r="A114" s="0" t="n">
        <f aca="false">A113+20*10^-3</f>
        <v>2.242</v>
      </c>
      <c r="B114" s="0" t="n">
        <v>0.51808</v>
      </c>
      <c r="C114" s="0" t="n">
        <v>197.992035</v>
      </c>
      <c r="D114" s="0" t="n">
        <v>10.364304</v>
      </c>
      <c r="E114" s="4" t="n">
        <f aca="false">C114*0.01745</f>
        <v>3.45496101075</v>
      </c>
      <c r="F114" s="0" t="n">
        <f aca="false">(E115-E114)/0.012</f>
        <v>14.8936040833334</v>
      </c>
      <c r="G114" s="0" t="n">
        <v>0.396</v>
      </c>
    </row>
    <row r="115" customFormat="false" ht="14.25" hidden="false" customHeight="false" outlineLevel="0" collapsed="false">
      <c r="A115" s="0" t="n">
        <f aca="false">A114+20*10^-3</f>
        <v>2.262</v>
      </c>
      <c r="B115" s="0" t="n">
        <v>0.54488</v>
      </c>
      <c r="C115" s="0" t="n">
        <v>208.234055</v>
      </c>
      <c r="D115" s="0" t="n">
        <v>10.24202</v>
      </c>
      <c r="E115" s="4" t="n">
        <f aca="false">C115*0.01745</f>
        <v>3.63368425975</v>
      </c>
      <c r="F115" s="0" t="n">
        <f aca="false">(E116-E115)/0.012</f>
        <v>14.9825351</v>
      </c>
      <c r="G115" s="0" t="n">
        <v>0.408</v>
      </c>
    </row>
    <row r="116" customFormat="false" ht="14.25" hidden="false" customHeight="false" outlineLevel="0" collapsed="false">
      <c r="A116" s="0" t="n">
        <f aca="false">A115+20*10^-3</f>
        <v>2.282</v>
      </c>
      <c r="B116" s="0" t="n">
        <v>0.57184</v>
      </c>
      <c r="C116" s="0" t="n">
        <v>218.537231</v>
      </c>
      <c r="D116" s="0" t="n">
        <v>10.303177</v>
      </c>
      <c r="E116" s="4" t="n">
        <f aca="false">C116*0.01745</f>
        <v>3.81347468095</v>
      </c>
      <c r="F116" s="0" t="n">
        <f aca="false">(E117-E116)/0.012</f>
        <v>14.8936258958334</v>
      </c>
      <c r="G116" s="0" t="n">
        <v>0.42</v>
      </c>
    </row>
    <row r="117" customFormat="false" ht="14.25" hidden="false" customHeight="false" outlineLevel="0" collapsed="false">
      <c r="A117" s="0" t="n">
        <f aca="false">A116+20*10^-3</f>
        <v>2.302</v>
      </c>
      <c r="B117" s="0" t="n">
        <v>0.59864</v>
      </c>
      <c r="C117" s="0" t="n">
        <v>228.779266</v>
      </c>
      <c r="D117" s="0" t="n">
        <v>10.242035</v>
      </c>
      <c r="E117" s="4" t="n">
        <f aca="false">C117*0.01745</f>
        <v>3.9921981917</v>
      </c>
      <c r="F117" s="0" t="n">
        <f aca="false">(E118-E117)/0.012</f>
        <v>15.3381791875</v>
      </c>
      <c r="G117" s="0" t="n">
        <v>0.432</v>
      </c>
    </row>
    <row r="118" customFormat="false" ht="14.25" hidden="false" customHeight="false" outlineLevel="0" collapsed="false">
      <c r="A118" s="0" t="n">
        <f aca="false">A117+20*10^-3</f>
        <v>2.322</v>
      </c>
      <c r="B118" s="0" t="n">
        <v>0.62624</v>
      </c>
      <c r="C118" s="0" t="n">
        <v>239.327011</v>
      </c>
      <c r="D118" s="0" t="n">
        <v>10.547745</v>
      </c>
      <c r="E118" s="4" t="n">
        <f aca="false">C118*0.01745</f>
        <v>4.17625634195</v>
      </c>
      <c r="F118" s="0" t="n">
        <f aca="false">(E119-E118)/0.012</f>
        <v>15.1603578708333</v>
      </c>
      <c r="G118" s="0" t="n">
        <v>0.444</v>
      </c>
    </row>
    <row r="119" customFormat="false" ht="14.25" hidden="false" customHeight="false" outlineLevel="0" collapsed="false">
      <c r="A119" s="0" t="n">
        <f aca="false">A118+20*10^-3</f>
        <v>2.342</v>
      </c>
      <c r="B119" s="0" t="n">
        <v>0.65352</v>
      </c>
      <c r="C119" s="0" t="n">
        <v>249.752472</v>
      </c>
      <c r="D119" s="0" t="n">
        <v>10.425461</v>
      </c>
      <c r="E119" s="4" t="n">
        <f aca="false">C119*0.01745</f>
        <v>4.3581806364</v>
      </c>
      <c r="F119" s="0" t="n">
        <f aca="false">(E120-E119)/0.012</f>
        <v>15.1158690958333</v>
      </c>
      <c r="G119" s="0" t="n">
        <v>0.456</v>
      </c>
    </row>
    <row r="120" customFormat="false" ht="14.25" hidden="false" customHeight="false" outlineLevel="0" collapsed="false">
      <c r="A120" s="0" t="n">
        <f aca="false">A119+20*10^-3</f>
        <v>2.362</v>
      </c>
      <c r="B120" s="0" t="n">
        <v>0.68072</v>
      </c>
      <c r="C120" s="0" t="n">
        <v>260.147339</v>
      </c>
      <c r="D120" s="0" t="n">
        <v>10.394867</v>
      </c>
      <c r="E120" s="4" t="n">
        <f aca="false">C120*0.01745</f>
        <v>4.53957106555</v>
      </c>
      <c r="F120" s="0" t="n">
        <f aca="false">(E121-E120)/0.012</f>
        <v>15.1159578</v>
      </c>
      <c r="G120" s="0" t="n">
        <v>0.468</v>
      </c>
    </row>
    <row r="121" customFormat="false" ht="14.25" hidden="false" customHeight="false" outlineLevel="0" collapsed="false">
      <c r="A121" s="0" t="n">
        <f aca="false">A120+20*10^-3</f>
        <v>2.382</v>
      </c>
      <c r="B121" s="0" t="n">
        <v>0.70792</v>
      </c>
      <c r="C121" s="0" t="n">
        <v>270.542267</v>
      </c>
      <c r="D121" s="0" t="n">
        <v>10.394928</v>
      </c>
      <c r="E121" s="4" t="n">
        <f aca="false">C121*0.01745</f>
        <v>4.72096255915</v>
      </c>
      <c r="F121" s="0" t="n">
        <f aca="false">(E122-E121)/0.012</f>
        <v>15.1158690958334</v>
      </c>
      <c r="G121" s="0" t="n">
        <v>0.48</v>
      </c>
    </row>
    <row r="122" customFormat="false" ht="14.25" hidden="false" customHeight="false" outlineLevel="0" collapsed="false">
      <c r="A122" s="0" t="n">
        <f aca="false">A121+20*10^-3</f>
        <v>2.402</v>
      </c>
      <c r="B122" s="0" t="n">
        <v>0.73512</v>
      </c>
      <c r="C122" s="0" t="n">
        <v>280.937134</v>
      </c>
      <c r="D122" s="0" t="n">
        <v>10.394867</v>
      </c>
      <c r="E122" s="4" t="n">
        <f aca="false">C122*0.01745</f>
        <v>4.9023529883</v>
      </c>
      <c r="F122" s="0" t="n">
        <f aca="false">(E123-E122)/0.012</f>
        <v>15.1158690958333</v>
      </c>
      <c r="G122" s="0" t="n">
        <v>0.492</v>
      </c>
    </row>
    <row r="123" customFormat="false" ht="14.25" hidden="false" customHeight="false" outlineLevel="0" collapsed="false">
      <c r="A123" s="0" t="n">
        <f aca="false">A122+20*10^-3</f>
        <v>2.422</v>
      </c>
      <c r="B123" s="0" t="n">
        <v>0.76232</v>
      </c>
      <c r="C123" s="0" t="n">
        <v>291.332001</v>
      </c>
      <c r="D123" s="0" t="n">
        <v>10.394867</v>
      </c>
      <c r="E123" s="4" t="n">
        <f aca="false">C123*0.01745</f>
        <v>5.08374341745</v>
      </c>
      <c r="F123" s="0" t="n">
        <f aca="false">(E124-E123)/0.012</f>
        <v>14.9380914041667</v>
      </c>
      <c r="G123" s="0" t="n">
        <v>0.504</v>
      </c>
    </row>
    <row r="124" customFormat="false" ht="14.25" hidden="false" customHeight="false" outlineLevel="0" collapsed="false">
      <c r="A124" s="0" t="n">
        <f aca="false">A123+20*10^-3</f>
        <v>2.442</v>
      </c>
      <c r="B124" s="0" t="n">
        <v>0.7892</v>
      </c>
      <c r="C124" s="0" t="n">
        <v>301.604614</v>
      </c>
      <c r="D124" s="0" t="n">
        <v>10.272614</v>
      </c>
      <c r="E124" s="4" t="n">
        <f aca="false">C124*0.01745</f>
        <v>5.2630005143</v>
      </c>
      <c r="F124" s="0" t="n">
        <f aca="false">(E125-E124)/0.012</f>
        <v>16.4051725249999</v>
      </c>
      <c r="G124" s="0" t="n">
        <v>0.516</v>
      </c>
    </row>
    <row r="125" customFormat="false" ht="14.25" hidden="false" customHeight="false" outlineLevel="0" collapsed="false">
      <c r="A125" s="0" t="n">
        <f aca="false">A124+20*10^-3</f>
        <v>2.462</v>
      </c>
      <c r="B125" s="0" t="n">
        <v>0.81872</v>
      </c>
      <c r="C125" s="0" t="n">
        <v>312.886108</v>
      </c>
      <c r="D125" s="0" t="n">
        <v>11.281494</v>
      </c>
      <c r="E125" s="4" t="n">
        <f aca="false">C125*0.01745</f>
        <v>5.4598625846</v>
      </c>
      <c r="F125" s="0" t="n">
        <f aca="false">(E126-E125)/0.012</f>
        <v>14.8491603875</v>
      </c>
      <c r="G125" s="0" t="n">
        <v>0.528</v>
      </c>
    </row>
    <row r="126" customFormat="false" ht="14.25" hidden="false" customHeight="false" outlineLevel="0" collapsed="false">
      <c r="A126" s="0" t="n">
        <f aca="false">A125+20*10^-3</f>
        <v>2.482</v>
      </c>
      <c r="B126" s="0" t="n">
        <v>0.84544</v>
      </c>
      <c r="C126" s="0" t="n">
        <v>323.097565</v>
      </c>
      <c r="D126" s="0" t="n">
        <v>10.211456</v>
      </c>
      <c r="E126" s="4" t="n">
        <f aca="false">C126*0.01745</f>
        <v>5.63805250925</v>
      </c>
      <c r="F126" s="0" t="n">
        <f aca="false">(E127-E126)/0.012</f>
        <v>15.0714908375</v>
      </c>
      <c r="G126" s="0" t="n">
        <v>0.54</v>
      </c>
    </row>
    <row r="127" customFormat="false" ht="14.25" hidden="false" customHeight="false" outlineLevel="0" collapsed="false">
      <c r="A127" s="0" t="n">
        <f aca="false">A126+20*10^-3</f>
        <v>2.502</v>
      </c>
      <c r="B127" s="0" t="n">
        <v>0.87256</v>
      </c>
      <c r="C127" s="0" t="n">
        <v>333.461914</v>
      </c>
      <c r="D127" s="0" t="n">
        <v>10.364349</v>
      </c>
      <c r="E127" s="4" t="n">
        <f aca="false">C127*0.01745</f>
        <v>5.8189103993</v>
      </c>
      <c r="F127" s="0" t="n">
        <f aca="false">(E128-E127)/0.012</f>
        <v>14.9824696625</v>
      </c>
      <c r="G127" s="0" t="n">
        <v>0.552</v>
      </c>
    </row>
    <row r="128" customFormat="false" ht="14.25" hidden="false" customHeight="false" outlineLevel="0" collapsed="false">
      <c r="A128" s="0" t="n">
        <f aca="false">A127+20*10^-3</f>
        <v>2.522</v>
      </c>
      <c r="B128" s="0" t="n">
        <v>0.89952</v>
      </c>
      <c r="C128" s="0" t="n">
        <v>343.765045</v>
      </c>
      <c r="D128" s="0" t="n">
        <v>10.303131</v>
      </c>
      <c r="E128" s="4" t="n">
        <f aca="false">C128*0.01745</f>
        <v>5.99870003525</v>
      </c>
      <c r="F128" s="0" t="n">
        <f aca="false">(E129-E128)/0.012</f>
        <v>15.1159141750001</v>
      </c>
      <c r="G128" s="0" t="n">
        <v>0.564</v>
      </c>
    </row>
    <row r="129" customFormat="false" ht="14.25" hidden="false" customHeight="false" outlineLevel="0" collapsed="false">
      <c r="A129" s="0" t="n">
        <f aca="false">A128+20*10^-3</f>
        <v>2.542</v>
      </c>
      <c r="B129" s="0" t="n">
        <v>0.92672</v>
      </c>
      <c r="C129" s="0" t="n">
        <v>354.159943</v>
      </c>
      <c r="D129" s="0" t="n">
        <v>10.394897</v>
      </c>
      <c r="E129" s="4" t="n">
        <f aca="false">C129*0.01745</f>
        <v>6.18009100535</v>
      </c>
      <c r="F129" s="0" t="n">
        <f aca="false">(E130-E129)/0.012</f>
        <v>15.2048015666667</v>
      </c>
      <c r="G129" s="0" t="n">
        <v>0.576</v>
      </c>
    </row>
    <row r="130" customFormat="false" ht="14.25" hidden="false" customHeight="false" outlineLevel="0" collapsed="false">
      <c r="A130" s="0" t="n">
        <f aca="false">A129+20*10^-3</f>
        <v>2.562</v>
      </c>
      <c r="B130" s="0" t="n">
        <v>0.95408</v>
      </c>
      <c r="C130" s="0" t="n">
        <v>364.615967</v>
      </c>
      <c r="D130" s="0" t="n">
        <v>10.456024</v>
      </c>
      <c r="E130" s="4" t="n">
        <f aca="false">C130*0.01745</f>
        <v>6.36254862415</v>
      </c>
      <c r="F130" s="0" t="n">
        <f aca="false">(E131-E130)/0.012</f>
        <v>-436.5827322375</v>
      </c>
      <c r="G130" s="0" t="n">
        <v>0.588</v>
      </c>
    </row>
    <row r="131" customFormat="false" ht="14.25" hidden="false" customHeight="false" outlineLevel="0" collapsed="false">
      <c r="A131" s="0" t="n">
        <f aca="false">A130+20*10^-3</f>
        <v>2.582</v>
      </c>
      <c r="B131" s="0" t="n">
        <v>0.16848</v>
      </c>
      <c r="C131" s="0" t="n">
        <v>64.387154</v>
      </c>
      <c r="E131" s="4" t="n">
        <f aca="false">C131*0.01745</f>
        <v>1.1235558373</v>
      </c>
      <c r="F131" s="0" t="n">
        <f aca="false">(E132-E131)/0.012</f>
        <v>-55.6176099291667</v>
      </c>
      <c r="G131" s="0" t="n">
        <v>0.6</v>
      </c>
    </row>
    <row r="132" customFormat="false" ht="14.25" hidden="false" customHeight="false" outlineLevel="0" collapsed="false">
      <c r="A132" s="0" t="n">
        <f aca="false">A131+20*10^-3</f>
        <v>2.602</v>
      </c>
      <c r="B132" s="0" t="n">
        <v>0.0684</v>
      </c>
      <c r="C132" s="0" t="n">
        <v>26.140087</v>
      </c>
      <c r="E132" s="4" t="n">
        <f aca="false">C132*0.01745</f>
        <v>0.45614451815</v>
      </c>
      <c r="F132" s="0" t="n">
        <f aca="false">(E133-E132)/0.012</f>
        <v>15.3826446958333</v>
      </c>
      <c r="G132" s="0" t="n">
        <v>0.612</v>
      </c>
    </row>
    <row r="133" customFormat="false" ht="14.25" hidden="false" customHeight="false" outlineLevel="0" collapsed="false">
      <c r="A133" s="0" t="n">
        <f aca="false">A132+20*10^-3</f>
        <v>2.622</v>
      </c>
      <c r="B133" s="0" t="n">
        <v>0.09608</v>
      </c>
      <c r="C133" s="0" t="n">
        <v>36.71841</v>
      </c>
      <c r="D133" s="0" t="n">
        <v>10.578323</v>
      </c>
      <c r="E133" s="4" t="n">
        <f aca="false">C133*0.01745</f>
        <v>0.6407362545</v>
      </c>
      <c r="F133" s="0" t="n">
        <f aca="false">(E134-E133)/0.012</f>
        <v>15.2937354916667</v>
      </c>
      <c r="G133" s="0" t="n">
        <v>0.624</v>
      </c>
    </row>
    <row r="134" customFormat="false" ht="14.25" hidden="false" customHeight="false" outlineLevel="0" collapsed="false">
      <c r="A134" s="0" t="n">
        <f aca="false">A133+20*10^-3</f>
        <v>2.642</v>
      </c>
      <c r="B134" s="0" t="n">
        <v>0.1236</v>
      </c>
      <c r="C134" s="0" t="n">
        <v>47.235592</v>
      </c>
      <c r="D134" s="0" t="n">
        <v>10.517181</v>
      </c>
      <c r="E134" s="4" t="n">
        <f aca="false">C134*0.01745</f>
        <v>0.8242610804</v>
      </c>
      <c r="F134" s="0" t="n">
        <f aca="false">(E135-E134)/0.012</f>
        <v>15.0269860666667</v>
      </c>
      <c r="G134" s="0" t="n">
        <v>0.636</v>
      </c>
    </row>
    <row r="135" customFormat="false" ht="14.25" hidden="false" customHeight="false" outlineLevel="0" collapsed="false">
      <c r="A135" s="0" t="n">
        <f aca="false">A134+20*10^-3</f>
        <v>2.662</v>
      </c>
      <c r="B135" s="0" t="n">
        <v>0.15064</v>
      </c>
      <c r="C135" s="0" t="n">
        <v>57.569336</v>
      </c>
      <c r="D135" s="0" t="n">
        <v>10.333744</v>
      </c>
      <c r="E135" s="4" t="n">
        <f aca="false">C135*0.01745</f>
        <v>1.0045849132</v>
      </c>
      <c r="F135" s="0" t="n">
        <f aca="false">(E136-E135)/0.012</f>
        <v>15.1158909083333</v>
      </c>
      <c r="G135" s="0" t="n">
        <v>0.648</v>
      </c>
    </row>
    <row r="136" customFormat="false" ht="14.25" hidden="false" customHeight="false" outlineLevel="0" collapsed="false">
      <c r="A136" s="0" t="n">
        <f aca="false">A135+20*10^-3</f>
        <v>2.682</v>
      </c>
      <c r="B136" s="0" t="n">
        <v>0.17784</v>
      </c>
      <c r="C136" s="0" t="n">
        <v>67.964218</v>
      </c>
      <c r="D136" s="0" t="n">
        <v>10.394882</v>
      </c>
      <c r="E136" s="4" t="n">
        <f aca="false">C136*0.01745</f>
        <v>1.1859756041</v>
      </c>
      <c r="F136" s="0" t="n">
        <f aca="false">(E137-E136)/0.012</f>
        <v>15.2937354916667</v>
      </c>
      <c r="G136" s="0" t="n">
        <v>0.66</v>
      </c>
    </row>
    <row r="137" customFormat="false" ht="14.25" hidden="false" customHeight="false" outlineLevel="0" collapsed="false">
      <c r="A137" s="0" t="n">
        <f aca="false">A136+20*10^-3</f>
        <v>2.702</v>
      </c>
      <c r="B137" s="0" t="n">
        <v>0.20536</v>
      </c>
      <c r="C137" s="0" t="n">
        <v>78.4814</v>
      </c>
      <c r="D137" s="0" t="n">
        <v>10.517181</v>
      </c>
      <c r="E137" s="4" t="n">
        <f aca="false">C137*0.01745</f>
        <v>1.36950043</v>
      </c>
      <c r="F137" s="0" t="n">
        <f aca="false">(E138-E137)/0.012</f>
        <v>15.2492903416667</v>
      </c>
      <c r="G137" s="0" t="n">
        <v>0.672</v>
      </c>
    </row>
    <row r="138" customFormat="false" ht="14.25" hidden="false" customHeight="false" outlineLevel="0" collapsed="false">
      <c r="A138" s="0" t="n">
        <f aca="false">A137+20*10^-3</f>
        <v>2.722</v>
      </c>
      <c r="B138" s="0" t="n">
        <v>0.2328</v>
      </c>
      <c r="C138" s="0" t="n">
        <v>88.968018</v>
      </c>
      <c r="D138" s="0" t="n">
        <v>10.486618</v>
      </c>
      <c r="E138" s="4" t="n">
        <f aca="false">C138*0.01745</f>
        <v>1.5524919141</v>
      </c>
      <c r="F138" s="0" t="n">
        <f aca="false">(E139-E138)/0.012</f>
        <v>15.2492568958333</v>
      </c>
      <c r="G138" s="0" t="n">
        <v>0.684</v>
      </c>
    </row>
    <row r="139" customFormat="false" ht="14.25" hidden="false" customHeight="false" outlineLevel="0" collapsed="false">
      <c r="A139" s="0" t="n">
        <f aca="false">A138+20*10^-3</f>
        <v>2.742</v>
      </c>
      <c r="B139" s="0" t="n">
        <v>0.26024</v>
      </c>
      <c r="C139" s="0" t="n">
        <v>99.454613</v>
      </c>
      <c r="D139" s="0" t="n">
        <v>10.486595</v>
      </c>
      <c r="E139" s="4" t="n">
        <f aca="false">C139*0.01745</f>
        <v>1.73548299685</v>
      </c>
      <c r="F139" s="0" t="n">
        <f aca="false">(E140-E139)/0.012</f>
        <v>15.0714573916667</v>
      </c>
      <c r="G139" s="0" t="n">
        <v>0.696</v>
      </c>
    </row>
    <row r="140" customFormat="false" ht="14.25" hidden="false" customHeight="false" outlineLevel="0" collapsed="false">
      <c r="A140" s="0" t="n">
        <f aca="false">A139+20*10^-3</f>
        <v>2.762</v>
      </c>
      <c r="B140" s="0" t="n">
        <v>0.28736</v>
      </c>
      <c r="C140" s="0" t="n">
        <v>109.818939</v>
      </c>
      <c r="D140" s="0" t="n">
        <v>10.364326</v>
      </c>
      <c r="E140" s="4" t="n">
        <f aca="false">C140*0.01745</f>
        <v>1.91634048555</v>
      </c>
      <c r="F140" s="0" t="n">
        <f aca="false">(E141-E140)/0.012</f>
        <v>15.0714355791666</v>
      </c>
      <c r="G140" s="0" t="n">
        <v>0.708</v>
      </c>
    </row>
    <row r="141" customFormat="false" ht="14.25" hidden="false" customHeight="false" outlineLevel="0" collapsed="false">
      <c r="A141" s="0" t="n">
        <f aca="false">A140+20*10^-3</f>
        <v>2.782</v>
      </c>
      <c r="B141" s="0" t="n">
        <v>0.31448</v>
      </c>
      <c r="C141" s="0" t="n">
        <v>120.18325</v>
      </c>
      <c r="D141" s="0" t="n">
        <v>10.364311</v>
      </c>
      <c r="E141" s="4" t="n">
        <f aca="false">C141*0.01745</f>
        <v>2.0971977125</v>
      </c>
      <c r="F141" s="0" t="n">
        <f aca="false">(E142-E141)/0.012</f>
        <v>15.0714370333334</v>
      </c>
      <c r="G141" s="0" t="n">
        <v>0.72</v>
      </c>
    </row>
    <row r="142" customFormat="false" ht="14.25" hidden="false" customHeight="false" outlineLevel="0" collapsed="false">
      <c r="A142" s="0" t="n">
        <f aca="false">A141+20*10^-3</f>
        <v>2.802</v>
      </c>
      <c r="B142" s="0" t="n">
        <v>0.3416</v>
      </c>
      <c r="C142" s="0" t="n">
        <v>130.547562</v>
      </c>
      <c r="D142" s="0" t="n">
        <v>10.364311</v>
      </c>
      <c r="E142" s="4" t="n">
        <f aca="false">C142*0.01745</f>
        <v>2.2780549569</v>
      </c>
      <c r="F142" s="0" t="n">
        <f aca="false">(E143-E142)/0.012</f>
        <v>15.1159127208333</v>
      </c>
      <c r="G142" s="0" t="n">
        <v>0.732</v>
      </c>
    </row>
    <row r="143" customFormat="false" ht="14.25" hidden="false" customHeight="false" outlineLevel="0" collapsed="false">
      <c r="A143" s="0" t="n">
        <f aca="false">A142+20*10^-3</f>
        <v>2.822</v>
      </c>
      <c r="B143" s="0" t="n">
        <v>0.3688</v>
      </c>
      <c r="C143" s="0" t="n">
        <v>140.942459</v>
      </c>
      <c r="D143" s="0" t="n">
        <v>10.394897</v>
      </c>
      <c r="E143" s="4" t="n">
        <f aca="false">C143*0.01745</f>
        <v>2.45944590955</v>
      </c>
      <c r="F143" s="0" t="n">
        <f aca="false">(E144-E143)/0.012</f>
        <v>15.0269584375</v>
      </c>
      <c r="G143" s="0" t="n">
        <v>0.744</v>
      </c>
    </row>
    <row r="144" customFormat="false" ht="14.25" hidden="false" customHeight="false" outlineLevel="0" collapsed="false">
      <c r="A144" s="0" t="n">
        <f aca="false">A143+20*10^-3</f>
        <v>2.842</v>
      </c>
      <c r="B144" s="0" t="n">
        <v>0.39584</v>
      </c>
      <c r="C144" s="0" t="n">
        <v>151.276184</v>
      </c>
      <c r="D144" s="0" t="n">
        <v>10.333725</v>
      </c>
      <c r="E144" s="4" t="n">
        <f aca="false">C144*0.01745</f>
        <v>2.6397694108</v>
      </c>
      <c r="F144" s="0" t="n">
        <f aca="false">(E145-E144)/0.012</f>
        <v>14.8491589333333</v>
      </c>
      <c r="G144" s="0" t="n">
        <v>0.756</v>
      </c>
    </row>
    <row r="145" customFormat="false" ht="14.25" hidden="false" customHeight="false" outlineLevel="0" collapsed="false">
      <c r="A145" s="0" t="n">
        <f aca="false">A144+20*10^-3</f>
        <v>2.862</v>
      </c>
      <c r="B145" s="0" t="n">
        <v>0.42256</v>
      </c>
      <c r="C145" s="0" t="n">
        <v>161.48764</v>
      </c>
      <c r="D145" s="0" t="n">
        <v>10.211456</v>
      </c>
      <c r="E145" s="4" t="n">
        <f aca="false">C145*0.01745</f>
        <v>2.817959318</v>
      </c>
      <c r="F145" s="0" t="n">
        <f aca="false">(E146-E145)/0.012</f>
        <v>15.338201</v>
      </c>
      <c r="G145" s="0" t="n">
        <v>0.768</v>
      </c>
    </row>
    <row r="146" customFormat="false" ht="14.25" hidden="false" customHeight="false" outlineLevel="0" collapsed="false">
      <c r="A146" s="0" t="n">
        <f aca="false">A145+20*10^-3</f>
        <v>2.882</v>
      </c>
      <c r="B146" s="0" t="n">
        <v>0.45016</v>
      </c>
      <c r="C146" s="0" t="n">
        <v>172.0354</v>
      </c>
      <c r="D146" s="0" t="n">
        <v>10.54776</v>
      </c>
      <c r="E146" s="4" t="n">
        <f aca="false">C146*0.01745</f>
        <v>3.00201773</v>
      </c>
      <c r="F146" s="0" t="n">
        <f aca="false">(E147-E146)/0.012</f>
        <v>15.1603578708333</v>
      </c>
      <c r="G146" s="0" t="n">
        <v>0.78</v>
      </c>
    </row>
    <row r="147" customFormat="false" ht="14.25" hidden="false" customHeight="false" outlineLevel="0" collapsed="false">
      <c r="A147" s="0" t="n">
        <f aca="false">A146+20*10^-3</f>
        <v>2.902</v>
      </c>
      <c r="B147" s="0" t="n">
        <v>0.47744</v>
      </c>
      <c r="C147" s="0" t="n">
        <v>182.460861</v>
      </c>
      <c r="D147" s="0" t="n">
        <v>10.425461</v>
      </c>
      <c r="E147" s="4" t="n">
        <f aca="false">C147*0.01745</f>
        <v>3.18394202445</v>
      </c>
      <c r="F147" s="0" t="n">
        <f aca="false">(E148-E147)/0.012</f>
        <v>15.1158909083333</v>
      </c>
      <c r="G147" s="0" t="n">
        <v>0.792</v>
      </c>
    </row>
    <row r="148" customFormat="false" ht="14.25" hidden="false" customHeight="false" outlineLevel="0" collapsed="false">
      <c r="A148" s="0" t="n">
        <f aca="false">A147+20*10^-3</f>
        <v>2.922</v>
      </c>
      <c r="B148" s="0" t="n">
        <v>0.50464</v>
      </c>
      <c r="C148" s="0" t="n">
        <v>192.855743</v>
      </c>
      <c r="D148" s="0" t="n">
        <v>10.394882</v>
      </c>
      <c r="E148" s="4" t="n">
        <f aca="false">C148*0.01745</f>
        <v>3.36533271535</v>
      </c>
      <c r="F148" s="0" t="n">
        <f aca="false">(E149-E148)/0.012</f>
        <v>14.8491371208334</v>
      </c>
      <c r="G148" s="0" t="n">
        <v>0.804</v>
      </c>
    </row>
    <row r="149" customFormat="false" ht="14.25" hidden="false" customHeight="false" outlineLevel="0" collapsed="false">
      <c r="A149" s="0" t="n">
        <f aca="false">A148+20*10^-3</f>
        <v>2.942</v>
      </c>
      <c r="B149" s="0" t="n">
        <v>0.53136</v>
      </c>
      <c r="C149" s="0" t="n">
        <v>203.067184</v>
      </c>
      <c r="D149" s="0" t="n">
        <v>10.211441</v>
      </c>
      <c r="E149" s="4" t="n">
        <f aca="false">C149*0.01745</f>
        <v>3.5435223608</v>
      </c>
      <c r="F149" s="0" t="n">
        <f aca="false">(E150-E149)/0.012</f>
        <v>14.8491822</v>
      </c>
      <c r="G149" s="0" t="n">
        <v>0.816</v>
      </c>
    </row>
    <row r="150" customFormat="false" ht="14.25" hidden="false" customHeight="false" outlineLevel="0" collapsed="false">
      <c r="A150" s="0" t="n">
        <f aca="false">A149+20*10^-3</f>
        <v>2.962</v>
      </c>
      <c r="B150" s="0" t="n">
        <v>0.55808</v>
      </c>
      <c r="C150" s="0" t="n">
        <v>213.278656</v>
      </c>
      <c r="D150" s="0" t="n">
        <v>10.211472</v>
      </c>
      <c r="E150" s="4" t="n">
        <f aca="false">C150*0.01745</f>
        <v>3.7217125472</v>
      </c>
      <c r="F150" s="0" t="n">
        <f aca="false">(E151-E150)/0.012</f>
        <v>14.9380477791667</v>
      </c>
      <c r="G150" s="0" t="n">
        <v>0.828</v>
      </c>
    </row>
    <row r="151" customFormat="false" ht="14.25" hidden="false" customHeight="false" outlineLevel="0" collapsed="false">
      <c r="A151" s="0" t="n">
        <f aca="false">A150+20*10^-3</f>
        <v>2.982</v>
      </c>
      <c r="B151" s="0" t="n">
        <v>0.58496</v>
      </c>
      <c r="C151" s="0" t="n">
        <v>223.551239</v>
      </c>
      <c r="D151" s="0" t="n">
        <v>10.272583</v>
      </c>
      <c r="E151" s="4" t="n">
        <f aca="false">C151*0.01745</f>
        <v>3.90096912055</v>
      </c>
      <c r="F151" s="0" t="n">
        <f aca="false">(E152-E151)/0.012</f>
        <v>15.2492685291667</v>
      </c>
      <c r="G151" s="0" t="n">
        <v>0.84</v>
      </c>
    </row>
    <row r="152" customFormat="false" ht="14.25" hidden="false" customHeight="false" outlineLevel="0" collapsed="false">
      <c r="A152" s="0" t="n">
        <f aca="false">A151+20*10^-3</f>
        <v>3.002</v>
      </c>
      <c r="B152" s="0" t="n">
        <v>0.6124</v>
      </c>
      <c r="C152" s="0" t="n">
        <v>234.037842</v>
      </c>
      <c r="D152" s="0" t="n">
        <v>10.486603</v>
      </c>
      <c r="E152" s="4" t="n">
        <f aca="false">C152*0.01745</f>
        <v>4.0839603429</v>
      </c>
      <c r="F152" s="0" t="n">
        <f aca="false">(E153-E152)/0.012</f>
        <v>15.0714472125</v>
      </c>
      <c r="G152" s="0" t="n">
        <v>0.852</v>
      </c>
    </row>
    <row r="153" customFormat="false" ht="14.25" hidden="false" customHeight="false" outlineLevel="0" collapsed="false">
      <c r="A153" s="0" t="n">
        <f aca="false">A152+20*10^-3</f>
        <v>3.022</v>
      </c>
      <c r="B153" s="0" t="n">
        <v>0.63952</v>
      </c>
      <c r="C153" s="0" t="n">
        <v>244.402161</v>
      </c>
      <c r="D153" s="0" t="n">
        <v>10.364319</v>
      </c>
      <c r="E153" s="4" t="n">
        <f aca="false">C153*0.01745</f>
        <v>4.26481770945</v>
      </c>
      <c r="F153" s="0" t="n">
        <f aca="false">(E154-E153)/0.012</f>
        <v>15.2937340375</v>
      </c>
      <c r="G153" s="0" t="n">
        <v>0.864</v>
      </c>
    </row>
    <row r="154" customFormat="false" ht="14.25" hidden="false" customHeight="false" outlineLevel="0" collapsed="false">
      <c r="A154" s="0" t="n">
        <f aca="false">A153+20*10^-3</f>
        <v>3.042</v>
      </c>
      <c r="B154" s="0" t="n">
        <v>0.66704</v>
      </c>
      <c r="C154" s="0" t="n">
        <v>254.919342</v>
      </c>
      <c r="D154" s="0" t="n">
        <v>10.517181</v>
      </c>
      <c r="E154" s="4" t="n">
        <f aca="false">C154*0.01745</f>
        <v>4.4483425179</v>
      </c>
      <c r="F154" s="0" t="n">
        <f aca="false">(E155-E154)/0.012</f>
        <v>16.5830389208333</v>
      </c>
      <c r="G154" s="0" t="n">
        <v>0.876</v>
      </c>
    </row>
    <row r="155" customFormat="false" ht="14.25" hidden="false" customHeight="false" outlineLevel="0" collapsed="false">
      <c r="A155" s="0" t="n">
        <f aca="false">A154+20*10^-3</f>
        <v>3.062</v>
      </c>
      <c r="B155" s="0" t="n">
        <v>0.69688</v>
      </c>
      <c r="C155" s="0" t="n">
        <v>266.323151</v>
      </c>
      <c r="D155" s="0" t="n">
        <v>11.403809</v>
      </c>
      <c r="E155" s="4" t="n">
        <f aca="false">C155*0.01745</f>
        <v>4.64733898495</v>
      </c>
      <c r="F155" s="0" t="n">
        <f aca="false">(E156-E155)/0.012</f>
        <v>15.1159127208333</v>
      </c>
      <c r="G155" s="0" t="n">
        <v>0.888</v>
      </c>
    </row>
    <row r="156" customFormat="false" ht="14.25" hidden="false" customHeight="false" outlineLevel="0" collapsed="false">
      <c r="A156" s="0" t="n">
        <f aca="false">A155+20*10^-3</f>
        <v>3.082</v>
      </c>
      <c r="B156" s="0" t="n">
        <v>0.72408</v>
      </c>
      <c r="C156" s="0" t="n">
        <v>276.718048</v>
      </c>
      <c r="D156" s="0" t="n">
        <v>10.394897</v>
      </c>
      <c r="E156" s="4" t="n">
        <f aca="false">C156*0.01745</f>
        <v>4.8287299376</v>
      </c>
      <c r="F156" s="0" t="n">
        <f aca="false">(E157-E156)/0.012</f>
        <v>15.0714472125</v>
      </c>
      <c r="G156" s="0" t="n">
        <v>0.9</v>
      </c>
    </row>
    <row r="157" customFormat="false" ht="14.25" hidden="false" customHeight="false" outlineLevel="0" collapsed="false">
      <c r="A157" s="0" t="n">
        <f aca="false">A156+20*10^-3</f>
        <v>3.102</v>
      </c>
      <c r="B157" s="0" t="n">
        <v>0.7512</v>
      </c>
      <c r="C157" s="0" t="n">
        <v>287.082367</v>
      </c>
      <c r="D157" s="0" t="n">
        <v>10.364319</v>
      </c>
      <c r="E157" s="4" t="n">
        <f aca="false">C157*0.01745</f>
        <v>5.00958730415</v>
      </c>
      <c r="F157" s="0" t="n">
        <f aca="false">(E158-E157)/0.012</f>
        <v>15.2047579416667</v>
      </c>
      <c r="G157" s="0" t="n">
        <v>0.912</v>
      </c>
    </row>
    <row r="158" customFormat="false" ht="14.25" hidden="false" customHeight="false" outlineLevel="0" collapsed="false">
      <c r="A158" s="0" t="n">
        <f aca="false">A157+20*10^-3</f>
        <v>3.122</v>
      </c>
      <c r="B158" s="0" t="n">
        <v>0.77856</v>
      </c>
      <c r="C158" s="0" t="n">
        <v>297.538361</v>
      </c>
      <c r="D158" s="0" t="n">
        <v>10.455994</v>
      </c>
      <c r="E158" s="4" t="n">
        <f aca="false">C158*0.01745</f>
        <v>5.19204439945</v>
      </c>
      <c r="F158" s="0" t="n">
        <f aca="false">(E159-E158)/0.012</f>
        <v>15.1159578</v>
      </c>
      <c r="G158" s="0" t="n">
        <v>0.924</v>
      </c>
    </row>
    <row r="159" customFormat="false" ht="14.25" hidden="false" customHeight="false" outlineLevel="0" collapsed="false">
      <c r="A159" s="0" t="n">
        <f aca="false">A158+20*10^-3</f>
        <v>3.142</v>
      </c>
      <c r="B159" s="0" t="n">
        <v>0.80576</v>
      </c>
      <c r="C159" s="0" t="n">
        <v>307.933289</v>
      </c>
      <c r="D159" s="0" t="n">
        <v>10.394928</v>
      </c>
      <c r="E159" s="4" t="n">
        <f aca="false">C159*0.01745</f>
        <v>5.37343589305</v>
      </c>
      <c r="F159" s="0" t="n">
        <f aca="false">(E160-E159)/0.012</f>
        <v>14.7157595</v>
      </c>
      <c r="G159" s="0" t="n">
        <v>0.936</v>
      </c>
    </row>
    <row r="160" customFormat="false" ht="14.25" hidden="false" customHeight="false" outlineLevel="0" collapsed="false">
      <c r="A160" s="0" t="n">
        <f aca="false">A159+20*10^-3</f>
        <v>3.162</v>
      </c>
      <c r="B160" s="0" t="n">
        <v>0.83224</v>
      </c>
      <c r="C160" s="0" t="n">
        <v>318.053009</v>
      </c>
      <c r="D160" s="0" t="n">
        <v>10.11972</v>
      </c>
      <c r="E160" s="4" t="n">
        <f aca="false">C160*0.01745</f>
        <v>5.55002500705</v>
      </c>
      <c r="F160" s="0" t="n">
        <f aca="false">(E161-E160)/0.012</f>
        <v>15.02698025</v>
      </c>
      <c r="G160" s="0" t="n">
        <v>0.948</v>
      </c>
    </row>
    <row r="161" customFormat="false" ht="14.25" hidden="false" customHeight="false" outlineLevel="0" collapsed="false">
      <c r="A161" s="0" t="n">
        <f aca="false">A160+20*10^-3</f>
        <v>3.182</v>
      </c>
      <c r="B161" s="0" t="n">
        <v>0.85928</v>
      </c>
      <c r="C161" s="0" t="n">
        <v>328.386749</v>
      </c>
      <c r="D161" s="0" t="n">
        <v>10.33374</v>
      </c>
      <c r="E161" s="4" t="n">
        <f aca="false">C161*0.01745</f>
        <v>5.73034877005</v>
      </c>
      <c r="F161" s="0" t="n">
        <f aca="false">(E162-E161)/0.012</f>
        <v>14.9380477791667</v>
      </c>
      <c r="G161" s="0" t="n">
        <v>0.96</v>
      </c>
    </row>
    <row r="162" customFormat="false" ht="14.25" hidden="false" customHeight="false" outlineLevel="0" collapsed="false">
      <c r="A162" s="0" t="n">
        <f aca="false">A161+20*10^-3</f>
        <v>3.202</v>
      </c>
      <c r="B162" s="0" t="n">
        <v>0.88616</v>
      </c>
      <c r="C162" s="0" t="n">
        <v>338.659332</v>
      </c>
      <c r="D162" s="0" t="n">
        <v>10.272583</v>
      </c>
      <c r="E162" s="4" t="n">
        <f aca="false">C162*0.01745</f>
        <v>5.9096053434</v>
      </c>
      <c r="F162" s="0" t="n">
        <f aca="false">(E163-E162)/0.012</f>
        <v>14.9380477791667</v>
      </c>
      <c r="G162" s="0" t="n">
        <v>0.972</v>
      </c>
    </row>
    <row r="163" customFormat="false" ht="14.25" hidden="false" customHeight="false" outlineLevel="0" collapsed="false">
      <c r="A163" s="0" t="n">
        <f aca="false">A162+20*10^-3</f>
        <v>3.222</v>
      </c>
      <c r="B163" s="0" t="n">
        <v>0.91304</v>
      </c>
      <c r="C163" s="0" t="n">
        <v>348.931915</v>
      </c>
      <c r="D163" s="0" t="n">
        <v>10.272583</v>
      </c>
      <c r="E163" s="4" t="n">
        <f aca="false">C163*0.01745</f>
        <v>6.08886191675</v>
      </c>
      <c r="F163" s="0" t="n">
        <f aca="false">(E164-E163)/0.012</f>
        <v>14.9825583666667</v>
      </c>
      <c r="G163" s="0" t="n">
        <v>0.984</v>
      </c>
    </row>
    <row r="164" customFormat="false" ht="14.25" hidden="false" customHeight="false" outlineLevel="0" collapsed="false">
      <c r="A164" s="0" t="n">
        <f aca="false">A163+20*10^-3</f>
        <v>3.242</v>
      </c>
      <c r="B164" s="0" t="n">
        <v>0.94</v>
      </c>
      <c r="C164" s="0" t="n">
        <v>359.235107</v>
      </c>
      <c r="D164" s="0" t="n">
        <v>10.303192</v>
      </c>
      <c r="E164" s="4" t="n">
        <f aca="false">C164*0.01745</f>
        <v>6.26865261715</v>
      </c>
      <c r="F164" s="0" t="n">
        <f aca="false">(E165-E164)/0.012</f>
        <v>-80.9589798041667</v>
      </c>
      <c r="G164" s="0" t="n">
        <v>0.996</v>
      </c>
    </row>
    <row r="165" customFormat="false" ht="14.25" hidden="false" customHeight="false" outlineLevel="0" collapsed="false">
      <c r="A165" s="0" t="n">
        <f aca="false">A164+20*10^-3</f>
        <v>3.262</v>
      </c>
      <c r="B165" s="0" t="n">
        <v>0.79432</v>
      </c>
      <c r="C165" s="0" t="n">
        <v>303.56131</v>
      </c>
      <c r="E165" s="4" t="n">
        <f aca="false">C165*0.01745</f>
        <v>5.2971448595</v>
      </c>
      <c r="F165" s="0" t="n">
        <f aca="false">(E166-E165)/0.012</f>
        <v>-411.552606379167</v>
      </c>
      <c r="G165" s="0" t="n">
        <v>1.008</v>
      </c>
    </row>
    <row r="166" customFormat="false" ht="14.25" hidden="false" customHeight="false" outlineLevel="0" collapsed="false">
      <c r="A166" s="0" t="n">
        <f aca="false">A165+20*10^-3</f>
        <v>3.282</v>
      </c>
      <c r="B166" s="0" t="n">
        <v>0.05376</v>
      </c>
      <c r="C166" s="0" t="n">
        <v>20.545191</v>
      </c>
      <c r="E166" s="4" t="n">
        <f aca="false">C166*0.01745</f>
        <v>0.35851358295</v>
      </c>
      <c r="F166" s="0" t="n">
        <f aca="false">(E167-E166)/0.012</f>
        <v>15.115896725</v>
      </c>
      <c r="G166" s="0" t="n">
        <v>1.02</v>
      </c>
    </row>
    <row r="167" customFormat="false" ht="14.25" hidden="false" customHeight="false" outlineLevel="0" collapsed="false">
      <c r="A167" s="0" t="n">
        <f aca="false">A166+20*10^-3</f>
        <v>3.302</v>
      </c>
      <c r="B167" s="0" t="n">
        <v>0.08096</v>
      </c>
      <c r="C167" s="0" t="n">
        <v>30.940077</v>
      </c>
      <c r="D167" s="0" t="n">
        <v>10.394886</v>
      </c>
      <c r="E167" s="4" t="n">
        <f aca="false">C167*0.01745</f>
        <v>0.53990434365</v>
      </c>
      <c r="F167" s="0" t="n">
        <f aca="false">(E168-E167)/0.012</f>
        <v>15.516025225</v>
      </c>
      <c r="G167" s="0" t="n">
        <v>1.032</v>
      </c>
    </row>
    <row r="168" customFormat="false" ht="14.25" hidden="false" customHeight="false" outlineLevel="0" collapsed="false">
      <c r="A168" s="0" t="n">
        <f aca="false">A167+20*10^-3</f>
        <v>3.322</v>
      </c>
      <c r="B168" s="0" t="n">
        <v>0.10888</v>
      </c>
      <c r="C168" s="0" t="n">
        <v>41.610123</v>
      </c>
      <c r="D168" s="0" t="n">
        <v>10.670046</v>
      </c>
      <c r="E168" s="4" t="n">
        <f aca="false">C168*0.01745</f>
        <v>0.72609664635</v>
      </c>
      <c r="F168" s="0" t="n">
        <f aca="false">(E169-E168)/0.012</f>
        <v>15.2048233791667</v>
      </c>
      <c r="G168" s="0" t="n">
        <v>1.044</v>
      </c>
    </row>
    <row r="169" customFormat="false" ht="14.25" hidden="false" customHeight="false" outlineLevel="0" collapsed="false">
      <c r="A169" s="0" t="n">
        <f aca="false">A168+20*10^-3</f>
        <v>3.342</v>
      </c>
      <c r="B169" s="0" t="n">
        <v>0.13624</v>
      </c>
      <c r="C169" s="0" t="n">
        <v>52.066162</v>
      </c>
      <c r="D169" s="0" t="n">
        <v>10.456039</v>
      </c>
      <c r="E169" s="4" t="n">
        <f aca="false">C169*0.01745</f>
        <v>0.9085545269</v>
      </c>
      <c r="F169" s="0" t="n">
        <f aca="false">(E170-E169)/0.012</f>
        <v>15.0269758875</v>
      </c>
      <c r="G169" s="0" t="n">
        <v>1.056</v>
      </c>
    </row>
    <row r="170" customFormat="false" ht="14.25" hidden="false" customHeight="false" outlineLevel="0" collapsed="false">
      <c r="A170" s="0" t="n">
        <f aca="false">A169+20*10^-3</f>
        <v>3.362</v>
      </c>
      <c r="B170" s="0" t="n">
        <v>0.16328</v>
      </c>
      <c r="C170" s="0" t="n">
        <v>62.399899</v>
      </c>
      <c r="D170" s="0" t="n">
        <v>10.333736</v>
      </c>
      <c r="E170" s="4" t="n">
        <f aca="false">C170*0.01745</f>
        <v>1.08887823755</v>
      </c>
      <c r="F170" s="0" t="n">
        <f aca="false">(E171-E170)/0.012</f>
        <v>15.2048175625</v>
      </c>
      <c r="G170" s="0" t="n">
        <v>1.068</v>
      </c>
    </row>
    <row r="171" customFormat="false" ht="14.25" hidden="false" customHeight="false" outlineLevel="0" collapsed="false">
      <c r="A171" s="0" t="n">
        <f aca="false">A170+20*10^-3</f>
        <v>3.382</v>
      </c>
      <c r="B171" s="0" t="n">
        <v>0.19064</v>
      </c>
      <c r="C171" s="0" t="n">
        <v>72.855934</v>
      </c>
      <c r="D171" s="0" t="n">
        <v>10.456036</v>
      </c>
      <c r="E171" s="4" t="n">
        <f aca="false">C171*0.01745</f>
        <v>1.2713360483</v>
      </c>
      <c r="F171" s="0" t="n">
        <f aca="false">(E172-E171)/0.012</f>
        <v>15.4715786208333</v>
      </c>
      <c r="G171" s="0" t="n">
        <v>1.08</v>
      </c>
    </row>
    <row r="172" customFormat="false" ht="14.25" hidden="false" customHeight="false" outlineLevel="0" collapsed="false">
      <c r="A172" s="0" t="n">
        <f aca="false">A171+20*10^-3</f>
        <v>3.402</v>
      </c>
      <c r="B172" s="0" t="n">
        <v>0.21848</v>
      </c>
      <c r="C172" s="0" t="n">
        <v>83.495415</v>
      </c>
      <c r="D172" s="0" t="n">
        <v>10.639481</v>
      </c>
      <c r="E172" s="4" t="n">
        <f aca="false">C172*0.01745</f>
        <v>1.45699499175</v>
      </c>
      <c r="F172" s="0" t="n">
        <f aca="false">(E173-E172)/0.012</f>
        <v>15.2048132</v>
      </c>
      <c r="G172" s="0" t="n">
        <v>1.092</v>
      </c>
    </row>
    <row r="173" customFormat="false" ht="14.25" hidden="false" customHeight="false" outlineLevel="0" collapsed="false">
      <c r="A173" s="0" t="n">
        <f aca="false">A172+20*10^-3</f>
        <v>3.422</v>
      </c>
      <c r="B173" s="0" t="n">
        <v>0.24584</v>
      </c>
      <c r="C173" s="0" t="n">
        <v>93.951447</v>
      </c>
      <c r="D173" s="0" t="n">
        <v>10.456032</v>
      </c>
      <c r="E173" s="4" t="n">
        <f aca="false">C173*0.01745</f>
        <v>1.63945275015</v>
      </c>
      <c r="F173" s="0" t="n">
        <f aca="false">(E174-E173)/0.012</f>
        <v>14.9825132875</v>
      </c>
      <c r="G173" s="0" t="n">
        <v>1.104</v>
      </c>
    </row>
    <row r="174" customFormat="false" ht="14.25" hidden="false" customHeight="false" outlineLevel="0" collapsed="false">
      <c r="A174" s="0" t="n">
        <f aca="false">A173+20*10^-3</f>
        <v>3.442</v>
      </c>
      <c r="B174" s="0" t="n">
        <v>0.2728</v>
      </c>
      <c r="C174" s="0" t="n">
        <v>104.254608</v>
      </c>
      <c r="D174" s="0" t="n">
        <v>10.303162</v>
      </c>
      <c r="E174" s="4" t="n">
        <f aca="false">C174*0.01745</f>
        <v>1.8192429096</v>
      </c>
      <c r="F174" s="0" t="n">
        <f aca="false">(E175-E174)/0.012</f>
        <v>15.2937354916667</v>
      </c>
      <c r="G174" s="0" t="n">
        <v>1.116</v>
      </c>
    </row>
    <row r="175" customFormat="false" ht="14.25" hidden="false" customHeight="false" outlineLevel="0" collapsed="false">
      <c r="A175" s="0" t="n">
        <f aca="false">A174+20*10^-3</f>
        <v>3.462</v>
      </c>
      <c r="B175" s="0" t="n">
        <v>0.30032</v>
      </c>
      <c r="C175" s="0" t="n">
        <v>114.77179</v>
      </c>
      <c r="D175" s="0" t="n">
        <v>10.517181</v>
      </c>
      <c r="E175" s="4" t="n">
        <f aca="false">C175*0.01745</f>
        <v>2.0027677355</v>
      </c>
      <c r="F175" s="0" t="n">
        <f aca="false">(E176-E175)/0.012</f>
        <v>14.8936142625</v>
      </c>
      <c r="G175" s="0" t="n">
        <v>1.128</v>
      </c>
    </row>
    <row r="176" customFormat="false" ht="14.25" hidden="false" customHeight="false" outlineLevel="0" collapsed="false">
      <c r="A176" s="0" t="n">
        <f aca="false">A175+20*10^-3</f>
        <v>3.482</v>
      </c>
      <c r="B176" s="0" t="n">
        <v>0.32712</v>
      </c>
      <c r="C176" s="0" t="n">
        <v>125.013817</v>
      </c>
      <c r="D176" s="0" t="n">
        <v>10.242027</v>
      </c>
      <c r="E176" s="4" t="n">
        <f aca="false">C176*0.01745</f>
        <v>2.18149110665</v>
      </c>
      <c r="F176" s="0" t="n">
        <f aca="false">(E177-E176)/0.012</f>
        <v>15.115879275</v>
      </c>
      <c r="G176" s="0" t="n">
        <v>1.14</v>
      </c>
    </row>
    <row r="177" customFormat="false" ht="14.25" hidden="false" customHeight="false" outlineLevel="0" collapsed="false">
      <c r="A177" s="0" t="n">
        <f aca="false">A176+20*10^-3</f>
        <v>3.502</v>
      </c>
      <c r="B177" s="0" t="n">
        <v>0.35432</v>
      </c>
      <c r="C177" s="0" t="n">
        <v>135.408691</v>
      </c>
      <c r="D177" s="0" t="n">
        <v>10.394875</v>
      </c>
      <c r="E177" s="4" t="n">
        <f aca="false">C177*0.01745</f>
        <v>2.36288165795</v>
      </c>
      <c r="F177" s="0" t="n">
        <f aca="false">(E178-E177)/0.012</f>
        <v>15.0714704791666</v>
      </c>
      <c r="G177" s="0" t="n">
        <v>1.152</v>
      </c>
    </row>
    <row r="178" customFormat="false" ht="14.25" hidden="false" customHeight="false" outlineLevel="0" collapsed="false">
      <c r="A178" s="0" t="n">
        <f aca="false">A177+20*10^-3</f>
        <v>3.522</v>
      </c>
      <c r="B178" s="0" t="n">
        <v>0.38144</v>
      </c>
      <c r="C178" s="0" t="n">
        <v>145.773026</v>
      </c>
      <c r="D178" s="0" t="n">
        <v>10.364334</v>
      </c>
      <c r="E178" s="4" t="n">
        <f aca="false">C178*0.01745</f>
        <v>2.5437393037</v>
      </c>
      <c r="F178" s="0" t="n">
        <f aca="false">(E179-E178)/0.012</f>
        <v>15.0269569833334</v>
      </c>
      <c r="G178" s="0" t="n">
        <v>1.164</v>
      </c>
    </row>
    <row r="179" customFormat="false" ht="14.25" hidden="false" customHeight="false" outlineLevel="0" collapsed="false">
      <c r="A179" s="0" t="n">
        <f aca="false">A178+20*10^-3</f>
        <v>3.542</v>
      </c>
      <c r="B179" s="0" t="n">
        <v>0.40848</v>
      </c>
      <c r="C179" s="0" t="n">
        <v>156.10675</v>
      </c>
      <c r="D179" s="0" t="n">
        <v>10.333725</v>
      </c>
      <c r="E179" s="4" t="n">
        <f aca="false">C179*0.01745</f>
        <v>2.7240627875</v>
      </c>
      <c r="F179" s="0" t="n">
        <f aca="false">(E180-E179)/0.012</f>
        <v>14.9380928583333</v>
      </c>
      <c r="G179" s="0" t="n">
        <v>1.176</v>
      </c>
    </row>
    <row r="180" customFormat="false" ht="14.25" hidden="false" customHeight="false" outlineLevel="0" collapsed="false">
      <c r="A180" s="0" t="n">
        <f aca="false">A179+20*10^-3</f>
        <v>3.562</v>
      </c>
      <c r="B180" s="0" t="n">
        <v>0.43536</v>
      </c>
      <c r="C180" s="0" t="n">
        <v>166.379364</v>
      </c>
      <c r="D180" s="0" t="n">
        <v>10.272614</v>
      </c>
      <c r="E180" s="4" t="n">
        <f aca="false">C180*0.01745</f>
        <v>2.9033199018</v>
      </c>
      <c r="F180" s="0" t="n">
        <f aca="false">(E181-E180)/0.012</f>
        <v>15.3381791875</v>
      </c>
      <c r="G180" s="0" t="n">
        <v>1.188</v>
      </c>
    </row>
    <row r="181" customFormat="false" ht="14.25" hidden="false" customHeight="false" outlineLevel="0" collapsed="false">
      <c r="A181" s="0" t="n">
        <f aca="false">A180+20*10^-3</f>
        <v>3.582</v>
      </c>
      <c r="B181" s="0" t="n">
        <v>0.46296</v>
      </c>
      <c r="C181" s="0" t="n">
        <v>176.927109</v>
      </c>
      <c r="D181" s="0" t="n">
        <v>10.547745</v>
      </c>
      <c r="E181" s="4" t="n">
        <f aca="false">C181*0.01745</f>
        <v>3.08737805205</v>
      </c>
      <c r="F181" s="0" t="n">
        <f aca="false">(E182-E181)/0.012</f>
        <v>15.1603578708333</v>
      </c>
      <c r="G181" s="0" t="n">
        <v>1.2</v>
      </c>
    </row>
    <row r="182" customFormat="false" ht="14.25" hidden="false" customHeight="false" outlineLevel="0" collapsed="false">
      <c r="A182" s="0" t="n">
        <f aca="false">A181+20*10^-3</f>
        <v>3.602</v>
      </c>
      <c r="B182" s="0" t="n">
        <v>0.49024</v>
      </c>
      <c r="C182" s="0" t="n">
        <v>187.35257</v>
      </c>
      <c r="D182" s="0" t="n">
        <v>10.425461</v>
      </c>
      <c r="E182" s="4" t="n">
        <f aca="false">C182*0.01745</f>
        <v>3.2693023465</v>
      </c>
      <c r="F182" s="0" t="n">
        <f aca="false">(E183-E182)/0.012</f>
        <v>15.2048233791667</v>
      </c>
      <c r="G182" s="0" t="n">
        <v>1.212</v>
      </c>
    </row>
    <row r="183" customFormat="false" ht="14.25" hidden="false" customHeight="false" outlineLevel="0" collapsed="false">
      <c r="A183" s="0" t="n">
        <f aca="false">A182+20*10^-3</f>
        <v>3.622</v>
      </c>
      <c r="B183" s="0" t="n">
        <v>0.5176</v>
      </c>
      <c r="C183" s="0" t="n">
        <v>197.808609</v>
      </c>
      <c r="D183" s="0" t="n">
        <v>10.456039</v>
      </c>
      <c r="E183" s="4" t="n">
        <f aca="false">C183*0.01745</f>
        <v>3.45176022705</v>
      </c>
      <c r="F183" s="0" t="n">
        <f aca="false">(E184-E183)/0.012</f>
        <v>15.0714254</v>
      </c>
      <c r="G183" s="0" t="n">
        <v>1.224</v>
      </c>
    </row>
    <row r="184" customFormat="false" ht="14.25" hidden="false" customHeight="false" outlineLevel="0" collapsed="false">
      <c r="A184" s="0" t="n">
        <f aca="false">A183+20*10^-3</f>
        <v>3.642</v>
      </c>
      <c r="B184" s="0" t="n">
        <v>0.54472</v>
      </c>
      <c r="C184" s="0" t="n">
        <v>208.172913</v>
      </c>
      <c r="D184" s="0" t="n">
        <v>10.364304</v>
      </c>
      <c r="E184" s="4" t="n">
        <f aca="false">C184*0.01745</f>
        <v>3.63261733185</v>
      </c>
      <c r="F184" s="0" t="n">
        <f aca="false">(E185-E184)/0.012</f>
        <v>16.5385719583333</v>
      </c>
      <c r="G184" s="0" t="n">
        <v>1.236</v>
      </c>
    </row>
    <row r="185" customFormat="false" ht="14.25" hidden="false" customHeight="false" outlineLevel="0" collapsed="false">
      <c r="A185" s="0" t="n">
        <f aca="false">A184+20*10^-3</f>
        <v>3.662</v>
      </c>
      <c r="B185" s="0" t="n">
        <v>0.57448</v>
      </c>
      <c r="C185" s="0" t="n">
        <v>219.546143</v>
      </c>
      <c r="D185" s="0" t="n">
        <v>11.37323</v>
      </c>
      <c r="E185" s="4" t="n">
        <f aca="false">C185*0.01745</f>
        <v>3.83108019535</v>
      </c>
      <c r="F185" s="0" t="n">
        <f aca="false">(E186-E185)/0.012</f>
        <v>-319.256682945833</v>
      </c>
      <c r="G185" s="0" t="n">
        <v>1.248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</TotalTime>
  <Application>LibreOffice/24.8.7.2$Linux_X86_64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2025-11-07T10:56:52Z</dcterms:created>
  <dc:creator/>
  <dc:description/>
  <dc:language>en-DK</dc:language>
  <cp:lastModifiedBy/>
  <dcterms:modified xsi:type="dcterms:W3CDTF">2025-11-14T11:53:33Z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