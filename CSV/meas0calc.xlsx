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tte\aauRepo\esd7_git\3Dprinter-BLDC-control\CSV\"/>
    </mc:Choice>
  </mc:AlternateContent>
  <xr:revisionPtr revIDLastSave="0" documentId="13_ncr:1_{04019008-D2D8-497B-834B-9095D22D3D06}" xr6:coauthVersionLast="47" xr6:coauthVersionMax="47" xr10:uidLastSave="{00000000-0000-0000-0000-000000000000}"/>
  <bookViews>
    <workbookView xWindow="-110" yWindow="-110" windowWidth="25820" windowHeight="15500" xr2:uid="{E87BC9E1-8444-4612-85BE-F946921EBAC5}"/>
  </bookViews>
  <sheets>
    <sheet name="meas0cal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5" i="1" l="1"/>
  <c r="S33" i="1" s="1"/>
  <c r="H11" i="1"/>
  <c r="H13" i="1" s="1"/>
  <c r="A4" i="1"/>
  <c r="A5" i="1"/>
  <c r="A6" i="1"/>
  <c r="A7" i="1"/>
  <c r="A8" i="1"/>
  <c r="A9" i="1"/>
  <c r="A10" i="1"/>
  <c r="A11" i="1" s="1"/>
  <c r="G4" i="1"/>
  <c r="G5" i="1"/>
  <c r="G6" i="1"/>
  <c r="G7" i="1"/>
  <c r="G8" i="1"/>
  <c r="G9" i="1"/>
  <c r="G10" i="1"/>
  <c r="G11" i="1"/>
  <c r="G3" i="1"/>
  <c r="A3" i="1"/>
  <c r="A2" i="1"/>
  <c r="S23" i="1"/>
  <c r="H14" i="1" l="1"/>
  <c r="A12" i="1"/>
  <c r="G12" i="1"/>
  <c r="H4" i="1"/>
  <c r="H5" i="1"/>
  <c r="H6" i="1"/>
  <c r="H7" i="1"/>
  <c r="H8" i="1"/>
  <c r="H9" i="1"/>
  <c r="H10" i="1"/>
  <c r="H12" i="1"/>
  <c r="H15" i="1"/>
  <c r="H16" i="1"/>
  <c r="H17" i="1"/>
  <c r="H18" i="1"/>
  <c r="H19" i="1"/>
  <c r="H20" i="1"/>
  <c r="H21" i="1"/>
  <c r="H22" i="1"/>
  <c r="H23" i="1"/>
  <c r="H3" i="1"/>
  <c r="A13" i="1" l="1"/>
  <c r="G13" i="1"/>
  <c r="A14" i="1" l="1"/>
  <c r="G14" i="1"/>
  <c r="G15" i="1" l="1"/>
  <c r="A15" i="1"/>
  <c r="G16" i="1" l="1"/>
  <c r="A16" i="1"/>
  <c r="G17" i="1" l="1"/>
  <c r="A17" i="1"/>
  <c r="G18" i="1" l="1"/>
  <c r="A18" i="1"/>
  <c r="G19" i="1" l="1"/>
  <c r="A19" i="1"/>
  <c r="A20" i="1" l="1"/>
  <c r="G20" i="1"/>
  <c r="G21" i="1" l="1"/>
  <c r="A21" i="1"/>
  <c r="A22" i="1" l="1"/>
  <c r="G22" i="1"/>
  <c r="A23" i="1" l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G23" i="1"/>
</calcChain>
</file>

<file path=xl/sharedStrings.xml><?xml version="1.0" encoding="utf-8"?>
<sst xmlns="http://schemas.openxmlformats.org/spreadsheetml/2006/main" count="12" uniqueCount="12">
  <si>
    <t>RAW</t>
  </si>
  <si>
    <t>DEGREE</t>
  </si>
  <si>
    <t>ANGULAR_MOMENTUM</t>
  </si>
  <si>
    <t>TimeStep</t>
  </si>
  <si>
    <t>T</t>
  </si>
  <si>
    <t>K_e</t>
  </si>
  <si>
    <t>K_t</t>
  </si>
  <si>
    <t>B</t>
  </si>
  <si>
    <t>R</t>
  </si>
  <si>
    <t>J</t>
  </si>
  <si>
    <t>Max</t>
  </si>
  <si>
    <t>max.63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</si>
</sst>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meas0calc!$D$1</c:f>
              <c:strCache>
                <c:ptCount val="1"/>
                <c:pt idx="0">
                  <c:v>ANGULAR_MOMENTUM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meas0calc!$A$2:$A$185</c:f>
              <c:numCache>
                <c:formatCode>General</c:formatCode>
                <c:ptCount val="184"/>
                <c:pt idx="0">
                  <c:v>1.2E-2</c:v>
                </c:pt>
                <c:pt idx="1">
                  <c:v>2.4E-2</c:v>
                </c:pt>
                <c:pt idx="2">
                  <c:v>3.6000000000000004E-2</c:v>
                </c:pt>
                <c:pt idx="3">
                  <c:v>4.8000000000000001E-2</c:v>
                </c:pt>
                <c:pt idx="4">
                  <c:v>0.06</c:v>
                </c:pt>
                <c:pt idx="5">
                  <c:v>7.1999999999999995E-2</c:v>
                </c:pt>
                <c:pt idx="6">
                  <c:v>8.3999999999999991E-2</c:v>
                </c:pt>
                <c:pt idx="7">
                  <c:v>9.5999999999999988E-2</c:v>
                </c:pt>
                <c:pt idx="8">
                  <c:v>0.10799999999999998</c:v>
                </c:pt>
                <c:pt idx="9">
                  <c:v>0.11999999999999998</c:v>
                </c:pt>
                <c:pt idx="10">
                  <c:v>0.13199999999999998</c:v>
                </c:pt>
                <c:pt idx="11">
                  <c:v>0.14399999999999999</c:v>
                </c:pt>
                <c:pt idx="12">
                  <c:v>0.156</c:v>
                </c:pt>
                <c:pt idx="13">
                  <c:v>0.16800000000000001</c:v>
                </c:pt>
                <c:pt idx="14">
                  <c:v>0.18000000000000002</c:v>
                </c:pt>
                <c:pt idx="15">
                  <c:v>0.19200000000000003</c:v>
                </c:pt>
                <c:pt idx="16">
                  <c:v>0.20400000000000004</c:v>
                </c:pt>
                <c:pt idx="17">
                  <c:v>0.21600000000000005</c:v>
                </c:pt>
                <c:pt idx="18">
                  <c:v>0.22800000000000006</c:v>
                </c:pt>
                <c:pt idx="19">
                  <c:v>0.24000000000000007</c:v>
                </c:pt>
                <c:pt idx="20">
                  <c:v>0.25200000000000006</c:v>
                </c:pt>
                <c:pt idx="21">
                  <c:v>0.26400000000000007</c:v>
                </c:pt>
                <c:pt idx="22">
                  <c:v>0.27600000000000008</c:v>
                </c:pt>
                <c:pt idx="23">
                  <c:v>0.28800000000000009</c:v>
                </c:pt>
                <c:pt idx="24">
                  <c:v>0.3000000000000001</c:v>
                </c:pt>
                <c:pt idx="25">
                  <c:v>0.31200000000000011</c:v>
                </c:pt>
                <c:pt idx="26">
                  <c:v>0.32400000000000012</c:v>
                </c:pt>
                <c:pt idx="27">
                  <c:v>0.33600000000000013</c:v>
                </c:pt>
                <c:pt idx="28">
                  <c:v>0.34800000000000014</c:v>
                </c:pt>
                <c:pt idx="29">
                  <c:v>0.36000000000000015</c:v>
                </c:pt>
                <c:pt idx="30">
                  <c:v>0.37200000000000016</c:v>
                </c:pt>
                <c:pt idx="31">
                  <c:v>0.38400000000000017</c:v>
                </c:pt>
                <c:pt idx="32">
                  <c:v>0.39600000000000019</c:v>
                </c:pt>
                <c:pt idx="33">
                  <c:v>0.4080000000000002</c:v>
                </c:pt>
                <c:pt idx="34">
                  <c:v>0.42000000000000021</c:v>
                </c:pt>
                <c:pt idx="35">
                  <c:v>0.43200000000000022</c:v>
                </c:pt>
                <c:pt idx="36">
                  <c:v>0.44400000000000023</c:v>
                </c:pt>
                <c:pt idx="37">
                  <c:v>0.45600000000000024</c:v>
                </c:pt>
                <c:pt idx="38">
                  <c:v>0.46800000000000025</c:v>
                </c:pt>
                <c:pt idx="39">
                  <c:v>0.48000000000000026</c:v>
                </c:pt>
                <c:pt idx="40">
                  <c:v>0.49200000000000027</c:v>
                </c:pt>
                <c:pt idx="41">
                  <c:v>0.50400000000000023</c:v>
                </c:pt>
                <c:pt idx="42">
                  <c:v>0.51600000000000024</c:v>
                </c:pt>
                <c:pt idx="43">
                  <c:v>0.52800000000000025</c:v>
                </c:pt>
                <c:pt idx="44">
                  <c:v>0.54000000000000026</c:v>
                </c:pt>
                <c:pt idx="45">
                  <c:v>0.55200000000000027</c:v>
                </c:pt>
                <c:pt idx="46">
                  <c:v>0.56400000000000028</c:v>
                </c:pt>
                <c:pt idx="47">
                  <c:v>0.57600000000000029</c:v>
                </c:pt>
                <c:pt idx="48">
                  <c:v>0.5880000000000003</c:v>
                </c:pt>
                <c:pt idx="49">
                  <c:v>0.60000000000000031</c:v>
                </c:pt>
                <c:pt idx="50">
                  <c:v>0.61200000000000032</c:v>
                </c:pt>
                <c:pt idx="51">
                  <c:v>0.62400000000000033</c:v>
                </c:pt>
                <c:pt idx="52">
                  <c:v>0.63600000000000034</c:v>
                </c:pt>
                <c:pt idx="53">
                  <c:v>0.64800000000000035</c:v>
                </c:pt>
                <c:pt idx="54">
                  <c:v>0.66000000000000036</c:v>
                </c:pt>
                <c:pt idx="55">
                  <c:v>0.67200000000000037</c:v>
                </c:pt>
                <c:pt idx="56">
                  <c:v>0.68400000000000039</c:v>
                </c:pt>
                <c:pt idx="57">
                  <c:v>0.6960000000000004</c:v>
                </c:pt>
                <c:pt idx="58">
                  <c:v>0.70800000000000041</c:v>
                </c:pt>
                <c:pt idx="59">
                  <c:v>0.72000000000000042</c:v>
                </c:pt>
                <c:pt idx="60">
                  <c:v>0.73200000000000043</c:v>
                </c:pt>
                <c:pt idx="61">
                  <c:v>0.74400000000000044</c:v>
                </c:pt>
                <c:pt idx="62">
                  <c:v>0.75600000000000045</c:v>
                </c:pt>
                <c:pt idx="63">
                  <c:v>0.76800000000000046</c:v>
                </c:pt>
                <c:pt idx="64">
                  <c:v>0.78000000000000047</c:v>
                </c:pt>
                <c:pt idx="65">
                  <c:v>0.79200000000000048</c:v>
                </c:pt>
                <c:pt idx="66">
                  <c:v>0.80400000000000049</c:v>
                </c:pt>
                <c:pt idx="67">
                  <c:v>0.8160000000000005</c:v>
                </c:pt>
                <c:pt idx="68">
                  <c:v>0.82800000000000051</c:v>
                </c:pt>
                <c:pt idx="69">
                  <c:v>0.84000000000000052</c:v>
                </c:pt>
                <c:pt idx="70">
                  <c:v>0.85200000000000053</c:v>
                </c:pt>
                <c:pt idx="71">
                  <c:v>0.86400000000000055</c:v>
                </c:pt>
                <c:pt idx="72">
                  <c:v>0.87600000000000056</c:v>
                </c:pt>
                <c:pt idx="73">
                  <c:v>0.88800000000000057</c:v>
                </c:pt>
                <c:pt idx="74">
                  <c:v>0.90000000000000058</c:v>
                </c:pt>
                <c:pt idx="75">
                  <c:v>0.91200000000000059</c:v>
                </c:pt>
                <c:pt idx="76">
                  <c:v>0.9240000000000006</c:v>
                </c:pt>
                <c:pt idx="77">
                  <c:v>0.93600000000000061</c:v>
                </c:pt>
                <c:pt idx="78">
                  <c:v>0.94800000000000062</c:v>
                </c:pt>
                <c:pt idx="79">
                  <c:v>0.96000000000000063</c:v>
                </c:pt>
                <c:pt idx="80">
                  <c:v>0.97200000000000064</c:v>
                </c:pt>
                <c:pt idx="81">
                  <c:v>0.98400000000000065</c:v>
                </c:pt>
                <c:pt idx="82">
                  <c:v>0.99600000000000066</c:v>
                </c:pt>
                <c:pt idx="83">
                  <c:v>1.0080000000000007</c:v>
                </c:pt>
                <c:pt idx="84">
                  <c:v>1.0200000000000007</c:v>
                </c:pt>
                <c:pt idx="85">
                  <c:v>1.0320000000000007</c:v>
                </c:pt>
                <c:pt idx="86">
                  <c:v>1.0440000000000007</c:v>
                </c:pt>
                <c:pt idx="87">
                  <c:v>1.0560000000000007</c:v>
                </c:pt>
                <c:pt idx="88">
                  <c:v>1.0680000000000007</c:v>
                </c:pt>
                <c:pt idx="89">
                  <c:v>1.0800000000000007</c:v>
                </c:pt>
                <c:pt idx="90">
                  <c:v>1.0920000000000007</c:v>
                </c:pt>
                <c:pt idx="91">
                  <c:v>1.1040000000000008</c:v>
                </c:pt>
                <c:pt idx="92">
                  <c:v>1.1160000000000008</c:v>
                </c:pt>
                <c:pt idx="93">
                  <c:v>1.1280000000000008</c:v>
                </c:pt>
                <c:pt idx="94">
                  <c:v>1.1400000000000008</c:v>
                </c:pt>
                <c:pt idx="95">
                  <c:v>1.1520000000000008</c:v>
                </c:pt>
                <c:pt idx="96">
                  <c:v>1.1640000000000008</c:v>
                </c:pt>
                <c:pt idx="97">
                  <c:v>1.1760000000000008</c:v>
                </c:pt>
                <c:pt idx="98">
                  <c:v>1.1880000000000008</c:v>
                </c:pt>
                <c:pt idx="99">
                  <c:v>1.2000000000000008</c:v>
                </c:pt>
                <c:pt idx="100">
                  <c:v>1.2120000000000009</c:v>
                </c:pt>
                <c:pt idx="101">
                  <c:v>1.2240000000000009</c:v>
                </c:pt>
                <c:pt idx="102">
                  <c:v>1.2360000000000009</c:v>
                </c:pt>
                <c:pt idx="103">
                  <c:v>1.2480000000000009</c:v>
                </c:pt>
                <c:pt idx="104">
                  <c:v>1.2600000000000009</c:v>
                </c:pt>
                <c:pt idx="105">
                  <c:v>1.2720000000000009</c:v>
                </c:pt>
                <c:pt idx="106">
                  <c:v>1.2840000000000009</c:v>
                </c:pt>
                <c:pt idx="107">
                  <c:v>1.2960000000000009</c:v>
                </c:pt>
                <c:pt idx="108">
                  <c:v>1.3080000000000009</c:v>
                </c:pt>
                <c:pt idx="109">
                  <c:v>1.320000000000001</c:v>
                </c:pt>
                <c:pt idx="110">
                  <c:v>1.332000000000001</c:v>
                </c:pt>
                <c:pt idx="111">
                  <c:v>1.344000000000001</c:v>
                </c:pt>
                <c:pt idx="112">
                  <c:v>1.356000000000001</c:v>
                </c:pt>
                <c:pt idx="113">
                  <c:v>1.368000000000001</c:v>
                </c:pt>
                <c:pt idx="114">
                  <c:v>1.380000000000001</c:v>
                </c:pt>
                <c:pt idx="115">
                  <c:v>1.392000000000001</c:v>
                </c:pt>
                <c:pt idx="116">
                  <c:v>1.404000000000001</c:v>
                </c:pt>
                <c:pt idx="117">
                  <c:v>1.416000000000001</c:v>
                </c:pt>
                <c:pt idx="118">
                  <c:v>1.428000000000001</c:v>
                </c:pt>
                <c:pt idx="119">
                  <c:v>1.4400000000000011</c:v>
                </c:pt>
                <c:pt idx="120">
                  <c:v>1.4520000000000011</c:v>
                </c:pt>
                <c:pt idx="121">
                  <c:v>1.4640000000000011</c:v>
                </c:pt>
                <c:pt idx="122">
                  <c:v>1.4760000000000011</c:v>
                </c:pt>
                <c:pt idx="123">
                  <c:v>1.4880000000000011</c:v>
                </c:pt>
                <c:pt idx="124">
                  <c:v>1.5000000000000011</c:v>
                </c:pt>
                <c:pt idx="125">
                  <c:v>1.5120000000000011</c:v>
                </c:pt>
                <c:pt idx="126">
                  <c:v>1.5240000000000011</c:v>
                </c:pt>
                <c:pt idx="127">
                  <c:v>1.5360000000000011</c:v>
                </c:pt>
                <c:pt idx="128">
                  <c:v>1.5480000000000012</c:v>
                </c:pt>
                <c:pt idx="129">
                  <c:v>1.5600000000000012</c:v>
                </c:pt>
                <c:pt idx="130">
                  <c:v>1.5720000000000012</c:v>
                </c:pt>
                <c:pt idx="131">
                  <c:v>1.5840000000000012</c:v>
                </c:pt>
                <c:pt idx="132">
                  <c:v>1.5960000000000012</c:v>
                </c:pt>
                <c:pt idx="133">
                  <c:v>1.6080000000000012</c:v>
                </c:pt>
                <c:pt idx="134">
                  <c:v>1.6200000000000012</c:v>
                </c:pt>
                <c:pt idx="135">
                  <c:v>1.6320000000000012</c:v>
                </c:pt>
                <c:pt idx="136">
                  <c:v>1.6440000000000012</c:v>
                </c:pt>
                <c:pt idx="137">
                  <c:v>1.6560000000000012</c:v>
                </c:pt>
                <c:pt idx="138">
                  <c:v>1.6680000000000013</c:v>
                </c:pt>
                <c:pt idx="139">
                  <c:v>1.6800000000000013</c:v>
                </c:pt>
                <c:pt idx="140">
                  <c:v>1.6920000000000013</c:v>
                </c:pt>
                <c:pt idx="141">
                  <c:v>1.7040000000000013</c:v>
                </c:pt>
                <c:pt idx="142">
                  <c:v>1.7160000000000013</c:v>
                </c:pt>
                <c:pt idx="143">
                  <c:v>1.7280000000000013</c:v>
                </c:pt>
                <c:pt idx="144">
                  <c:v>1.7400000000000013</c:v>
                </c:pt>
                <c:pt idx="145">
                  <c:v>1.7520000000000013</c:v>
                </c:pt>
                <c:pt idx="146">
                  <c:v>1.7640000000000013</c:v>
                </c:pt>
                <c:pt idx="147">
                  <c:v>1.7760000000000014</c:v>
                </c:pt>
                <c:pt idx="148">
                  <c:v>1.7880000000000014</c:v>
                </c:pt>
                <c:pt idx="149">
                  <c:v>1.8000000000000014</c:v>
                </c:pt>
                <c:pt idx="150">
                  <c:v>1.8120000000000014</c:v>
                </c:pt>
                <c:pt idx="151">
                  <c:v>1.8240000000000014</c:v>
                </c:pt>
                <c:pt idx="152">
                  <c:v>1.8360000000000014</c:v>
                </c:pt>
                <c:pt idx="153">
                  <c:v>1.8480000000000014</c:v>
                </c:pt>
                <c:pt idx="154">
                  <c:v>1.8600000000000014</c:v>
                </c:pt>
                <c:pt idx="155">
                  <c:v>1.8720000000000014</c:v>
                </c:pt>
                <c:pt idx="156">
                  <c:v>1.8840000000000015</c:v>
                </c:pt>
                <c:pt idx="157">
                  <c:v>1.8960000000000015</c:v>
                </c:pt>
                <c:pt idx="158">
                  <c:v>1.9080000000000015</c:v>
                </c:pt>
                <c:pt idx="159">
                  <c:v>1.9200000000000015</c:v>
                </c:pt>
                <c:pt idx="160">
                  <c:v>1.9320000000000015</c:v>
                </c:pt>
                <c:pt idx="161">
                  <c:v>1.9440000000000015</c:v>
                </c:pt>
                <c:pt idx="162">
                  <c:v>1.9560000000000015</c:v>
                </c:pt>
                <c:pt idx="163">
                  <c:v>1.9680000000000015</c:v>
                </c:pt>
                <c:pt idx="164">
                  <c:v>1.9800000000000015</c:v>
                </c:pt>
                <c:pt idx="165">
                  <c:v>1.9920000000000015</c:v>
                </c:pt>
                <c:pt idx="166">
                  <c:v>2.0040000000000013</c:v>
                </c:pt>
                <c:pt idx="167">
                  <c:v>2.0160000000000013</c:v>
                </c:pt>
                <c:pt idx="168">
                  <c:v>2.0280000000000014</c:v>
                </c:pt>
                <c:pt idx="169">
                  <c:v>2.0400000000000014</c:v>
                </c:pt>
                <c:pt idx="170">
                  <c:v>2.0520000000000014</c:v>
                </c:pt>
                <c:pt idx="171">
                  <c:v>2.0640000000000014</c:v>
                </c:pt>
                <c:pt idx="172">
                  <c:v>2.0760000000000014</c:v>
                </c:pt>
                <c:pt idx="173">
                  <c:v>2.0880000000000014</c:v>
                </c:pt>
                <c:pt idx="174">
                  <c:v>2.1000000000000014</c:v>
                </c:pt>
                <c:pt idx="175">
                  <c:v>2.1120000000000014</c:v>
                </c:pt>
                <c:pt idx="176">
                  <c:v>2.1240000000000014</c:v>
                </c:pt>
                <c:pt idx="177">
                  <c:v>2.1360000000000015</c:v>
                </c:pt>
                <c:pt idx="178">
                  <c:v>2.1480000000000015</c:v>
                </c:pt>
                <c:pt idx="179">
                  <c:v>2.1600000000000015</c:v>
                </c:pt>
                <c:pt idx="180">
                  <c:v>2.1720000000000015</c:v>
                </c:pt>
                <c:pt idx="181">
                  <c:v>2.1840000000000015</c:v>
                </c:pt>
                <c:pt idx="182">
                  <c:v>2.1960000000000015</c:v>
                </c:pt>
              </c:numCache>
            </c:numRef>
          </c:xVal>
          <c:yVal>
            <c:numRef>
              <c:f>meas0calc!$D$2:$D$185</c:f>
              <c:numCache>
                <c:formatCode>General</c:formatCode>
                <c:ptCount val="184"/>
                <c:pt idx="1">
                  <c:v>1.6203920000000001</c:v>
                </c:pt>
                <c:pt idx="2">
                  <c:v>0</c:v>
                </c:pt>
                <c:pt idx="3">
                  <c:v>-3.0609000000000001E-2</c:v>
                </c:pt>
                <c:pt idx="4">
                  <c:v>3.0609000000000001E-2</c:v>
                </c:pt>
                <c:pt idx="5">
                  <c:v>-3.0609000000000001E-2</c:v>
                </c:pt>
                <c:pt idx="6">
                  <c:v>3.0609000000000001E-2</c:v>
                </c:pt>
                <c:pt idx="7">
                  <c:v>0</c:v>
                </c:pt>
                <c:pt idx="8">
                  <c:v>0</c:v>
                </c:pt>
                <c:pt idx="9">
                  <c:v>-3.0609000000000001E-2</c:v>
                </c:pt>
                <c:pt idx="10">
                  <c:v>3.0609000000000001E-2</c:v>
                </c:pt>
                <c:pt idx="11">
                  <c:v>0</c:v>
                </c:pt>
                <c:pt idx="12">
                  <c:v>-3.0609000000000001E-2</c:v>
                </c:pt>
                <c:pt idx="13">
                  <c:v>0</c:v>
                </c:pt>
                <c:pt idx="14">
                  <c:v>0</c:v>
                </c:pt>
                <c:pt idx="15">
                  <c:v>3.0609000000000001E-2</c:v>
                </c:pt>
                <c:pt idx="16">
                  <c:v>-3.0609000000000001E-2</c:v>
                </c:pt>
                <c:pt idx="17">
                  <c:v>3.0609000000000001E-2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-3.0609000000000001E-2</c:v>
                </c:pt>
                <c:pt idx="22">
                  <c:v>3.0609000000000001E-2</c:v>
                </c:pt>
                <c:pt idx="23">
                  <c:v>-3.0609000000000001E-2</c:v>
                </c:pt>
                <c:pt idx="24">
                  <c:v>3.0609000000000001E-2</c:v>
                </c:pt>
                <c:pt idx="25">
                  <c:v>-3.0609000000000001E-2</c:v>
                </c:pt>
                <c:pt idx="26">
                  <c:v>3.0609000000000001E-2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-3.0609000000000001E-2</c:v>
                </c:pt>
                <c:pt idx="32">
                  <c:v>3.0609000000000001E-2</c:v>
                </c:pt>
                <c:pt idx="33">
                  <c:v>0</c:v>
                </c:pt>
                <c:pt idx="34">
                  <c:v>-3.0609000000000001E-2</c:v>
                </c:pt>
                <c:pt idx="35">
                  <c:v>3.0609000000000001E-2</c:v>
                </c:pt>
                <c:pt idx="36">
                  <c:v>0</c:v>
                </c:pt>
                <c:pt idx="37">
                  <c:v>-3.0609000000000001E-2</c:v>
                </c:pt>
                <c:pt idx="38">
                  <c:v>0</c:v>
                </c:pt>
                <c:pt idx="39">
                  <c:v>0</c:v>
                </c:pt>
                <c:pt idx="40">
                  <c:v>-0.21398900000000001</c:v>
                </c:pt>
                <c:pt idx="41">
                  <c:v>0.24459800000000001</c:v>
                </c:pt>
                <c:pt idx="42">
                  <c:v>0</c:v>
                </c:pt>
                <c:pt idx="43">
                  <c:v>-0.183472</c:v>
                </c:pt>
                <c:pt idx="44">
                  <c:v>0.183472</c:v>
                </c:pt>
                <c:pt idx="45">
                  <c:v>-0.12231400000000001</c:v>
                </c:pt>
                <c:pt idx="46">
                  <c:v>6.1157000000000003E-2</c:v>
                </c:pt>
                <c:pt idx="47">
                  <c:v>3.0547999999999999E-2</c:v>
                </c:pt>
                <c:pt idx="48">
                  <c:v>0</c:v>
                </c:pt>
                <c:pt idx="49">
                  <c:v>-6.1127000000000001E-2</c:v>
                </c:pt>
                <c:pt idx="50">
                  <c:v>9.1735999999999998E-2</c:v>
                </c:pt>
                <c:pt idx="51">
                  <c:v>-6.1157000000000003E-2</c:v>
                </c:pt>
                <c:pt idx="52">
                  <c:v>3.0547999999999999E-2</c:v>
                </c:pt>
                <c:pt idx="53">
                  <c:v>3.0609000000000001E-2</c:v>
                </c:pt>
                <c:pt idx="54">
                  <c:v>-0.12231400000000001</c:v>
                </c:pt>
                <c:pt idx="55">
                  <c:v>0.12231400000000001</c:v>
                </c:pt>
                <c:pt idx="56">
                  <c:v>-3.0609000000000001E-2</c:v>
                </c:pt>
                <c:pt idx="57">
                  <c:v>0</c:v>
                </c:pt>
                <c:pt idx="58">
                  <c:v>3.0609000000000001E-2</c:v>
                </c:pt>
                <c:pt idx="59">
                  <c:v>-3.0609000000000001E-2</c:v>
                </c:pt>
                <c:pt idx="60">
                  <c:v>0</c:v>
                </c:pt>
                <c:pt idx="61">
                  <c:v>3.0609000000000001E-2</c:v>
                </c:pt>
                <c:pt idx="62">
                  <c:v>-6.1157000000000003E-2</c:v>
                </c:pt>
                <c:pt idx="63">
                  <c:v>6.1157000000000003E-2</c:v>
                </c:pt>
                <c:pt idx="64">
                  <c:v>-3.0609000000000001E-2</c:v>
                </c:pt>
                <c:pt idx="65">
                  <c:v>3.0609000000000001E-2</c:v>
                </c:pt>
                <c:pt idx="66">
                  <c:v>-3.0609000000000001E-2</c:v>
                </c:pt>
                <c:pt idx="67">
                  <c:v>3.0609000000000001E-2</c:v>
                </c:pt>
                <c:pt idx="68">
                  <c:v>0</c:v>
                </c:pt>
                <c:pt idx="69">
                  <c:v>0</c:v>
                </c:pt>
                <c:pt idx="70">
                  <c:v>-3.0609000000000001E-2</c:v>
                </c:pt>
                <c:pt idx="71">
                  <c:v>3.0609000000000001E-2</c:v>
                </c:pt>
                <c:pt idx="72">
                  <c:v>0</c:v>
                </c:pt>
                <c:pt idx="73">
                  <c:v>0</c:v>
                </c:pt>
                <c:pt idx="74">
                  <c:v>-0.36691299999999999</c:v>
                </c:pt>
                <c:pt idx="75">
                  <c:v>0.275177</c:v>
                </c:pt>
                <c:pt idx="76">
                  <c:v>-0.12231400000000001</c:v>
                </c:pt>
                <c:pt idx="77">
                  <c:v>0.152893</c:v>
                </c:pt>
                <c:pt idx="78">
                  <c:v>-6.1157000000000003E-2</c:v>
                </c:pt>
                <c:pt idx="79">
                  <c:v>9.1704999999999995E-2</c:v>
                </c:pt>
                <c:pt idx="80">
                  <c:v>0</c:v>
                </c:pt>
                <c:pt idx="81">
                  <c:v>-0.18344099999999999</c:v>
                </c:pt>
                <c:pt idx="82">
                  <c:v>0.18344099999999999</c:v>
                </c:pt>
                <c:pt idx="83">
                  <c:v>-0.275146</c:v>
                </c:pt>
                <c:pt idx="84">
                  <c:v>0.36688199999999999</c:v>
                </c:pt>
                <c:pt idx="85">
                  <c:v>2.3541560000000001</c:v>
                </c:pt>
                <c:pt idx="86">
                  <c:v>3.210175</c:v>
                </c:pt>
                <c:pt idx="87">
                  <c:v>4.4942630000000001</c:v>
                </c:pt>
                <c:pt idx="88">
                  <c:v>5.5031739999999996</c:v>
                </c:pt>
                <c:pt idx="89">
                  <c:v>6.1452030000000004</c:v>
                </c:pt>
                <c:pt idx="90">
                  <c:v>7.1235660000000003</c:v>
                </c:pt>
                <c:pt idx="91">
                  <c:v>7.8878779999999997</c:v>
                </c:pt>
                <c:pt idx="92">
                  <c:v>9.3554080000000006</c:v>
                </c:pt>
                <c:pt idx="93">
                  <c:v>9.2636719999999997</c:v>
                </c:pt>
                <c:pt idx="96">
                  <c:v>9.9362890000000004</c:v>
                </c:pt>
                <c:pt idx="97">
                  <c:v>10.180878</c:v>
                </c:pt>
                <c:pt idx="98">
                  <c:v>10.089153</c:v>
                </c:pt>
                <c:pt idx="99">
                  <c:v>10.303169</c:v>
                </c:pt>
                <c:pt idx="100">
                  <c:v>10.333740000000001</c:v>
                </c:pt>
                <c:pt idx="101">
                  <c:v>10.517181000000001</c:v>
                </c:pt>
                <c:pt idx="102">
                  <c:v>10.425461</c:v>
                </c:pt>
                <c:pt idx="103">
                  <c:v>10.456032</c:v>
                </c:pt>
                <c:pt idx="104">
                  <c:v>10.333740000000001</c:v>
                </c:pt>
                <c:pt idx="105">
                  <c:v>10.394897</c:v>
                </c:pt>
                <c:pt idx="106">
                  <c:v>10.547751999999999</c:v>
                </c:pt>
                <c:pt idx="107">
                  <c:v>10.211456</c:v>
                </c:pt>
                <c:pt idx="108">
                  <c:v>10.211441000000001</c:v>
                </c:pt>
                <c:pt idx="109">
                  <c:v>10.333740000000001</c:v>
                </c:pt>
                <c:pt idx="110">
                  <c:v>10.364319</c:v>
                </c:pt>
                <c:pt idx="111">
                  <c:v>10.333740000000001</c:v>
                </c:pt>
                <c:pt idx="112">
                  <c:v>10.364304000000001</c:v>
                </c:pt>
                <c:pt idx="113">
                  <c:v>10.24202</c:v>
                </c:pt>
                <c:pt idx="114">
                  <c:v>10.303177</c:v>
                </c:pt>
                <c:pt idx="115">
                  <c:v>10.242035</c:v>
                </c:pt>
                <c:pt idx="116">
                  <c:v>10.547745000000001</c:v>
                </c:pt>
                <c:pt idx="117">
                  <c:v>10.425461</c:v>
                </c:pt>
                <c:pt idx="118">
                  <c:v>10.394867</c:v>
                </c:pt>
                <c:pt idx="119">
                  <c:v>10.394928</c:v>
                </c:pt>
                <c:pt idx="120">
                  <c:v>10.394867</c:v>
                </c:pt>
                <c:pt idx="121">
                  <c:v>10.394867</c:v>
                </c:pt>
                <c:pt idx="122">
                  <c:v>10.272614000000001</c:v>
                </c:pt>
                <c:pt idx="123">
                  <c:v>11.281494</c:v>
                </c:pt>
                <c:pt idx="124">
                  <c:v>10.211456</c:v>
                </c:pt>
                <c:pt idx="125">
                  <c:v>10.364349000000001</c:v>
                </c:pt>
                <c:pt idx="126">
                  <c:v>10.303131</c:v>
                </c:pt>
                <c:pt idx="127">
                  <c:v>10.394897</c:v>
                </c:pt>
                <c:pt idx="128">
                  <c:v>10.456023999999999</c:v>
                </c:pt>
                <c:pt idx="131">
                  <c:v>10.578322999999999</c:v>
                </c:pt>
                <c:pt idx="132">
                  <c:v>10.517181000000001</c:v>
                </c:pt>
                <c:pt idx="133">
                  <c:v>10.333743999999999</c:v>
                </c:pt>
                <c:pt idx="134">
                  <c:v>10.394882000000001</c:v>
                </c:pt>
                <c:pt idx="135">
                  <c:v>10.517181000000001</c:v>
                </c:pt>
                <c:pt idx="136">
                  <c:v>10.486618</c:v>
                </c:pt>
                <c:pt idx="137">
                  <c:v>10.486594999999999</c:v>
                </c:pt>
                <c:pt idx="138">
                  <c:v>10.364326</c:v>
                </c:pt>
                <c:pt idx="139">
                  <c:v>10.364311000000001</c:v>
                </c:pt>
                <c:pt idx="140">
                  <c:v>10.364311000000001</c:v>
                </c:pt>
                <c:pt idx="141">
                  <c:v>10.394897</c:v>
                </c:pt>
                <c:pt idx="142">
                  <c:v>10.333724999999999</c:v>
                </c:pt>
                <c:pt idx="143">
                  <c:v>10.211456</c:v>
                </c:pt>
                <c:pt idx="144">
                  <c:v>10.54776</c:v>
                </c:pt>
                <c:pt idx="145">
                  <c:v>10.425461</c:v>
                </c:pt>
                <c:pt idx="146">
                  <c:v>10.394882000000001</c:v>
                </c:pt>
                <c:pt idx="147">
                  <c:v>10.211441000000001</c:v>
                </c:pt>
                <c:pt idx="148">
                  <c:v>10.211472000000001</c:v>
                </c:pt>
                <c:pt idx="149">
                  <c:v>10.272582999999999</c:v>
                </c:pt>
                <c:pt idx="150">
                  <c:v>10.486603000000001</c:v>
                </c:pt>
                <c:pt idx="151">
                  <c:v>10.364319</c:v>
                </c:pt>
                <c:pt idx="152">
                  <c:v>10.517181000000001</c:v>
                </c:pt>
                <c:pt idx="153">
                  <c:v>11.403809000000001</c:v>
                </c:pt>
                <c:pt idx="154">
                  <c:v>10.394897</c:v>
                </c:pt>
                <c:pt idx="155">
                  <c:v>10.364319</c:v>
                </c:pt>
                <c:pt idx="156">
                  <c:v>10.455994</c:v>
                </c:pt>
                <c:pt idx="157">
                  <c:v>10.394928</c:v>
                </c:pt>
                <c:pt idx="158">
                  <c:v>10.119719999999999</c:v>
                </c:pt>
                <c:pt idx="159">
                  <c:v>10.333740000000001</c:v>
                </c:pt>
                <c:pt idx="160">
                  <c:v>10.272582999999999</c:v>
                </c:pt>
                <c:pt idx="161">
                  <c:v>10.272582999999999</c:v>
                </c:pt>
                <c:pt idx="162">
                  <c:v>10.303191999999999</c:v>
                </c:pt>
                <c:pt idx="165">
                  <c:v>10.394886</c:v>
                </c:pt>
                <c:pt idx="166">
                  <c:v>10.670045999999999</c:v>
                </c:pt>
                <c:pt idx="167">
                  <c:v>10.456039000000001</c:v>
                </c:pt>
                <c:pt idx="168">
                  <c:v>10.333736</c:v>
                </c:pt>
                <c:pt idx="169">
                  <c:v>10.456035999999999</c:v>
                </c:pt>
                <c:pt idx="170">
                  <c:v>10.639481</c:v>
                </c:pt>
                <c:pt idx="171">
                  <c:v>10.456032</c:v>
                </c:pt>
                <c:pt idx="172">
                  <c:v>10.303162</c:v>
                </c:pt>
                <c:pt idx="173">
                  <c:v>10.517181000000001</c:v>
                </c:pt>
                <c:pt idx="174">
                  <c:v>10.242027</c:v>
                </c:pt>
                <c:pt idx="175">
                  <c:v>10.394875000000001</c:v>
                </c:pt>
                <c:pt idx="176">
                  <c:v>10.364333999999999</c:v>
                </c:pt>
                <c:pt idx="177">
                  <c:v>10.333724999999999</c:v>
                </c:pt>
                <c:pt idx="178">
                  <c:v>10.272614000000001</c:v>
                </c:pt>
                <c:pt idx="179">
                  <c:v>10.547745000000001</c:v>
                </c:pt>
                <c:pt idx="180">
                  <c:v>10.425461</c:v>
                </c:pt>
                <c:pt idx="181">
                  <c:v>10.456039000000001</c:v>
                </c:pt>
                <c:pt idx="182">
                  <c:v>10.364304000000001</c:v>
                </c:pt>
                <c:pt idx="183">
                  <c:v>11.37323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B9-4725-8555-9F2EC2187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4832"/>
        <c:axId val="1217144912"/>
      </c:scatterChart>
      <c:valAx>
        <c:axId val="121719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217144912"/>
        <c:crosses val="autoZero"/>
        <c:crossBetween val="midCat"/>
      </c:valAx>
      <c:valAx>
        <c:axId val="121714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21719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meas0calc!$A$86:$A$103</c:f>
              <c:numCache>
                <c:formatCode>General</c:formatCode>
                <c:ptCount val="18"/>
                <c:pt idx="0">
                  <c:v>1.0200000000000007</c:v>
                </c:pt>
                <c:pt idx="1">
                  <c:v>1.0320000000000007</c:v>
                </c:pt>
                <c:pt idx="2">
                  <c:v>1.0440000000000007</c:v>
                </c:pt>
                <c:pt idx="3">
                  <c:v>1.0560000000000007</c:v>
                </c:pt>
                <c:pt idx="4">
                  <c:v>1.0680000000000007</c:v>
                </c:pt>
                <c:pt idx="5">
                  <c:v>1.0800000000000007</c:v>
                </c:pt>
                <c:pt idx="6">
                  <c:v>1.0920000000000007</c:v>
                </c:pt>
                <c:pt idx="7">
                  <c:v>1.1040000000000008</c:v>
                </c:pt>
                <c:pt idx="8">
                  <c:v>1.1160000000000008</c:v>
                </c:pt>
                <c:pt idx="9">
                  <c:v>1.1280000000000008</c:v>
                </c:pt>
                <c:pt idx="10">
                  <c:v>1.1400000000000008</c:v>
                </c:pt>
                <c:pt idx="11">
                  <c:v>1.1520000000000008</c:v>
                </c:pt>
                <c:pt idx="12">
                  <c:v>1.1640000000000008</c:v>
                </c:pt>
                <c:pt idx="13">
                  <c:v>1.1760000000000008</c:v>
                </c:pt>
                <c:pt idx="14">
                  <c:v>1.1880000000000008</c:v>
                </c:pt>
                <c:pt idx="15">
                  <c:v>1.2000000000000008</c:v>
                </c:pt>
                <c:pt idx="16">
                  <c:v>1.2120000000000009</c:v>
                </c:pt>
                <c:pt idx="17">
                  <c:v>1.2240000000000009</c:v>
                </c:pt>
              </c:numCache>
            </c:numRef>
          </c:xVal>
          <c:yVal>
            <c:numRef>
              <c:f>meas0calc!$D$86:$D$103</c:f>
              <c:numCache>
                <c:formatCode>General</c:formatCode>
                <c:ptCount val="18"/>
                <c:pt idx="0">
                  <c:v>0.36688199999999999</c:v>
                </c:pt>
                <c:pt idx="1">
                  <c:v>2.3541560000000001</c:v>
                </c:pt>
                <c:pt idx="2">
                  <c:v>3.210175</c:v>
                </c:pt>
                <c:pt idx="3">
                  <c:v>4.4942630000000001</c:v>
                </c:pt>
                <c:pt idx="4">
                  <c:v>5.5031739999999996</c:v>
                </c:pt>
                <c:pt idx="5">
                  <c:v>6.1452030000000004</c:v>
                </c:pt>
                <c:pt idx="6">
                  <c:v>7.1235660000000003</c:v>
                </c:pt>
                <c:pt idx="7">
                  <c:v>7.8878779999999997</c:v>
                </c:pt>
                <c:pt idx="8">
                  <c:v>9.3554080000000006</c:v>
                </c:pt>
                <c:pt idx="9">
                  <c:v>9.2636719999999997</c:v>
                </c:pt>
                <c:pt idx="12">
                  <c:v>9.9362890000000004</c:v>
                </c:pt>
                <c:pt idx="13">
                  <c:v>10.180878</c:v>
                </c:pt>
                <c:pt idx="14">
                  <c:v>10.089153</c:v>
                </c:pt>
                <c:pt idx="15">
                  <c:v>10.303169</c:v>
                </c:pt>
                <c:pt idx="16">
                  <c:v>10.333740000000001</c:v>
                </c:pt>
                <c:pt idx="17">
                  <c:v>10.517181000000001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0E-4615-865A-C774C2196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39632"/>
        <c:axId val="1217134832"/>
      </c:scatterChart>
      <c:valAx>
        <c:axId val="121713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217134832"/>
        <c:crosses val="autoZero"/>
        <c:crossBetween val="midCat"/>
      </c:valAx>
      <c:valAx>
        <c:axId val="121713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217139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meas0calc!$G$2:$G$24</c:f>
              <c:numCache>
                <c:formatCode>General</c:formatCode>
                <c:ptCount val="23"/>
                <c:pt idx="0">
                  <c:v>0</c:v>
                </c:pt>
                <c:pt idx="1">
                  <c:v>1.2E-2</c:v>
                </c:pt>
                <c:pt idx="2">
                  <c:v>2.4E-2</c:v>
                </c:pt>
                <c:pt idx="3">
                  <c:v>3.6000000000000004E-2</c:v>
                </c:pt>
                <c:pt idx="4">
                  <c:v>4.8000000000000001E-2</c:v>
                </c:pt>
                <c:pt idx="5">
                  <c:v>0.06</c:v>
                </c:pt>
                <c:pt idx="6">
                  <c:v>7.1999999999999995E-2</c:v>
                </c:pt>
                <c:pt idx="7">
                  <c:v>8.3999999999999991E-2</c:v>
                </c:pt>
                <c:pt idx="8">
                  <c:v>9.5999999999999988E-2</c:v>
                </c:pt>
                <c:pt idx="9">
                  <c:v>0.10799999999999998</c:v>
                </c:pt>
                <c:pt idx="10">
                  <c:v>0.11999999999999998</c:v>
                </c:pt>
                <c:pt idx="11">
                  <c:v>0.13199999999999998</c:v>
                </c:pt>
                <c:pt idx="12">
                  <c:v>0.14399999999999999</c:v>
                </c:pt>
                <c:pt idx="13">
                  <c:v>0.156</c:v>
                </c:pt>
                <c:pt idx="14">
                  <c:v>0.16800000000000001</c:v>
                </c:pt>
                <c:pt idx="15">
                  <c:v>0.18000000000000002</c:v>
                </c:pt>
                <c:pt idx="16">
                  <c:v>0.19200000000000003</c:v>
                </c:pt>
                <c:pt idx="17">
                  <c:v>0.20400000000000004</c:v>
                </c:pt>
                <c:pt idx="18">
                  <c:v>0.21600000000000005</c:v>
                </c:pt>
                <c:pt idx="19">
                  <c:v>0.22800000000000006</c:v>
                </c:pt>
                <c:pt idx="20">
                  <c:v>0.24000000000000007</c:v>
                </c:pt>
                <c:pt idx="21">
                  <c:v>0.25200000000000006</c:v>
                </c:pt>
              </c:numCache>
            </c:numRef>
          </c:xVal>
          <c:yVal>
            <c:numRef>
              <c:f>meas0calc!$H$2:$H$24</c:f>
              <c:numCache>
                <c:formatCode>General</c:formatCode>
                <c:ptCount val="23"/>
                <c:pt idx="0">
                  <c:v>0</c:v>
                </c:pt>
                <c:pt idx="1">
                  <c:v>0.36688199999999999</c:v>
                </c:pt>
                <c:pt idx="2">
                  <c:v>2.3541560000000001</c:v>
                </c:pt>
                <c:pt idx="3">
                  <c:v>3.210175</c:v>
                </c:pt>
                <c:pt idx="4">
                  <c:v>4.4942630000000001</c:v>
                </c:pt>
                <c:pt idx="5">
                  <c:v>5.5031739999999996</c:v>
                </c:pt>
                <c:pt idx="6">
                  <c:v>6.1452030000000004</c:v>
                </c:pt>
                <c:pt idx="7">
                  <c:v>7.1235660000000003</c:v>
                </c:pt>
                <c:pt idx="8">
                  <c:v>7.8878779999999997</c:v>
                </c:pt>
                <c:pt idx="9">
                  <c:v>8.5757750000000001</c:v>
                </c:pt>
                <c:pt idx="10">
                  <c:v>9.2636719999999997</c:v>
                </c:pt>
                <c:pt idx="11">
                  <c:v>9.2585786666666667</c:v>
                </c:pt>
                <c:pt idx="12">
                  <c:v>9.3401083333333332</c:v>
                </c:pt>
                <c:pt idx="13">
                  <c:v>9.9362890000000004</c:v>
                </c:pt>
                <c:pt idx="14">
                  <c:v>10.180878</c:v>
                </c:pt>
                <c:pt idx="15">
                  <c:v>10.089153</c:v>
                </c:pt>
                <c:pt idx="16">
                  <c:v>10.303169</c:v>
                </c:pt>
                <c:pt idx="17">
                  <c:v>10.333740000000001</c:v>
                </c:pt>
                <c:pt idx="18">
                  <c:v>10.517181000000001</c:v>
                </c:pt>
                <c:pt idx="19">
                  <c:v>10.425461</c:v>
                </c:pt>
                <c:pt idx="20">
                  <c:v>10.456032</c:v>
                </c:pt>
                <c:pt idx="21">
                  <c:v>10.333740000000001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67-44CF-8242-5F0B6ECF5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61712"/>
        <c:axId val="1217159312"/>
      </c:scatterChart>
      <c:valAx>
        <c:axId val="121716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217159312"/>
        <c:crosses val="autoZero"/>
        <c:crossBetween val="midCat"/>
      </c:valAx>
      <c:valAx>
        <c:axId val="121715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217161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263525</xdr:colOff>
      <xdr:row>2</xdr:row>
      <xdr:rowOff>180975</xdr:rowOff>
    </xdr:from>
    <xdr:to>
      <xdr:col>23</xdr:col>
      <xdr:colOff>568325</xdr:colOff>
      <xdr:row>17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2B9565-5227-97BC-AD74-2606B3FD04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504825</xdr:colOff>
      <xdr:row>84</xdr:row>
      <xdr:rowOff>47625</xdr:rowOff>
    </xdr:from>
    <xdr:to>
      <xdr:col>16</xdr:col>
      <xdr:colOff>200025</xdr:colOff>
      <xdr:row>99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7F8ECB-6026-0C9D-D6CB-DB2A290520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600075</xdr:colOff>
      <xdr:row>5</xdr:row>
      <xdr:rowOff>73025</xdr:rowOff>
    </xdr:from>
    <xdr:to>
      <xdr:col>16</xdr:col>
      <xdr:colOff>295275</xdr:colOff>
      <xdr:row>20</xdr:row>
      <xdr:rowOff>53975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008661-7A9F-2A50-4077-353662EE7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47693-239E-4BE5-AD04-2FD17EFE7495}">
  <dimension ref="A1:S185"/>
  <sheetViews>
    <sheetView tabSelected="1" workbookViewId="0">
      <selection activeCell="S25" sqref="S25"/>
    </sheetView>
  </sheetViews>
  <sheetFormatPr defaultRowHeight="14.5" x14ac:dyDescent="0.35"/>
  <cols>
    <col min="4" max="4" width="20" bestFit="1" customWidth="1"/>
    <col min="19" max="19" width="9.81640625" bestFit="1" customWidth="1"/>
  </cols>
  <sheetData>
    <row r="1" spans="1:8" x14ac:dyDescent="0.35">
      <c r="A1" t="s">
        <v>3</v>
      </c>
      <c r="B1" t="s">
        <v>0</v>
      </c>
      <c r="C1" t="s">
        <v>1</v>
      </c>
      <c r="D1" t="s">
        <v>2</v>
      </c>
    </row>
    <row r="2" spans="1:8" x14ac:dyDescent="0.35">
      <c r="A2">
        <f>12*10^-3</f>
        <v>1.2E-2</v>
      </c>
      <c r="B2">
        <v>0.80015999999999998</v>
      </c>
      <c r="C2">
        <v>305.79315200000002</v>
      </c>
      <c r="G2">
        <v>0</v>
      </c>
      <c r="H2">
        <v>0</v>
      </c>
    </row>
    <row r="3" spans="1:8" x14ac:dyDescent="0.35">
      <c r="A3">
        <f>A2+12*10^-3</f>
        <v>2.4E-2</v>
      </c>
      <c r="B3">
        <v>0.8044</v>
      </c>
      <c r="C3">
        <v>307.413544</v>
      </c>
      <c r="D3">
        <v>1.6203920000000001</v>
      </c>
      <c r="G3">
        <f>A2</f>
        <v>1.2E-2</v>
      </c>
      <c r="H3">
        <f>D86</f>
        <v>0.36688199999999999</v>
      </c>
    </row>
    <row r="4" spans="1:8" x14ac:dyDescent="0.35">
      <c r="A4">
        <f t="shared" ref="A4:A67" si="0">A3+12*10^-3</f>
        <v>3.6000000000000004E-2</v>
      </c>
      <c r="B4">
        <v>0.8044</v>
      </c>
      <c r="C4">
        <v>307.413544</v>
      </c>
      <c r="D4">
        <v>0</v>
      </c>
      <c r="G4">
        <f t="shared" ref="G4:G23" si="1">A3</f>
        <v>2.4E-2</v>
      </c>
      <c r="H4">
        <f t="shared" ref="H4:H23" si="2">D87</f>
        <v>2.3541560000000001</v>
      </c>
    </row>
    <row r="5" spans="1:8" x14ac:dyDescent="0.35">
      <c r="A5">
        <f t="shared" si="0"/>
        <v>4.8000000000000001E-2</v>
      </c>
      <c r="B5">
        <v>0.80432000000000003</v>
      </c>
      <c r="C5">
        <v>307.38293499999997</v>
      </c>
      <c r="D5">
        <v>-3.0609000000000001E-2</v>
      </c>
      <c r="G5">
        <f t="shared" si="1"/>
        <v>3.6000000000000004E-2</v>
      </c>
      <c r="H5">
        <f t="shared" si="2"/>
        <v>3.210175</v>
      </c>
    </row>
    <row r="6" spans="1:8" x14ac:dyDescent="0.35">
      <c r="A6">
        <f t="shared" si="0"/>
        <v>0.06</v>
      </c>
      <c r="B6">
        <v>0.8044</v>
      </c>
      <c r="C6">
        <v>307.413544</v>
      </c>
      <c r="D6">
        <v>3.0609000000000001E-2</v>
      </c>
      <c r="G6">
        <f t="shared" si="1"/>
        <v>4.8000000000000001E-2</v>
      </c>
      <c r="H6">
        <f t="shared" si="2"/>
        <v>4.4942630000000001</v>
      </c>
    </row>
    <row r="7" spans="1:8" x14ac:dyDescent="0.35">
      <c r="A7">
        <f t="shared" si="0"/>
        <v>7.1999999999999995E-2</v>
      </c>
      <c r="B7">
        <v>0.80432000000000003</v>
      </c>
      <c r="C7">
        <v>307.38293499999997</v>
      </c>
      <c r="D7">
        <v>-3.0609000000000001E-2</v>
      </c>
      <c r="G7">
        <f t="shared" si="1"/>
        <v>0.06</v>
      </c>
      <c r="H7">
        <f t="shared" si="2"/>
        <v>5.5031739999999996</v>
      </c>
    </row>
    <row r="8" spans="1:8" x14ac:dyDescent="0.35">
      <c r="A8">
        <f t="shared" si="0"/>
        <v>8.3999999999999991E-2</v>
      </c>
      <c r="B8">
        <v>0.8044</v>
      </c>
      <c r="C8">
        <v>307.413544</v>
      </c>
      <c r="D8">
        <v>3.0609000000000001E-2</v>
      </c>
      <c r="G8">
        <f t="shared" si="1"/>
        <v>7.1999999999999995E-2</v>
      </c>
      <c r="H8">
        <f t="shared" si="2"/>
        <v>6.1452030000000004</v>
      </c>
    </row>
    <row r="9" spans="1:8" x14ac:dyDescent="0.35">
      <c r="A9">
        <f t="shared" si="0"/>
        <v>9.5999999999999988E-2</v>
      </c>
      <c r="B9">
        <v>0.8044</v>
      </c>
      <c r="C9">
        <v>307.413544</v>
      </c>
      <c r="D9">
        <v>0</v>
      </c>
      <c r="G9">
        <f t="shared" si="1"/>
        <v>8.3999999999999991E-2</v>
      </c>
      <c r="H9">
        <f t="shared" si="2"/>
        <v>7.1235660000000003</v>
      </c>
    </row>
    <row r="10" spans="1:8" x14ac:dyDescent="0.35">
      <c r="A10">
        <f t="shared" si="0"/>
        <v>0.10799999999999998</v>
      </c>
      <c r="B10">
        <v>0.8044</v>
      </c>
      <c r="C10">
        <v>307.413544</v>
      </c>
      <c r="D10">
        <v>0</v>
      </c>
      <c r="G10">
        <f t="shared" si="1"/>
        <v>9.5999999999999988E-2</v>
      </c>
      <c r="H10">
        <f t="shared" si="2"/>
        <v>7.8878779999999997</v>
      </c>
    </row>
    <row r="11" spans="1:8" x14ac:dyDescent="0.35">
      <c r="A11">
        <f t="shared" si="0"/>
        <v>0.11999999999999998</v>
      </c>
      <c r="B11">
        <v>0.80432000000000003</v>
      </c>
      <c r="C11">
        <v>307.38293499999997</v>
      </c>
      <c r="D11">
        <v>-3.0609000000000001E-2</v>
      </c>
      <c r="G11">
        <f t="shared" si="1"/>
        <v>0.10799999999999998</v>
      </c>
      <c r="H11">
        <f>(H10+H12)/2</f>
        <v>8.5757750000000001</v>
      </c>
    </row>
    <row r="12" spans="1:8" x14ac:dyDescent="0.35">
      <c r="A12">
        <f t="shared" si="0"/>
        <v>0.13199999999999998</v>
      </c>
      <c r="B12">
        <v>0.8044</v>
      </c>
      <c r="C12">
        <v>307.413544</v>
      </c>
      <c r="D12">
        <v>3.0609000000000001E-2</v>
      </c>
      <c r="G12">
        <f t="shared" si="1"/>
        <v>0.11999999999999998</v>
      </c>
      <c r="H12">
        <f t="shared" si="2"/>
        <v>9.2636719999999997</v>
      </c>
    </row>
    <row r="13" spans="1:8" x14ac:dyDescent="0.35">
      <c r="A13">
        <f t="shared" si="0"/>
        <v>0.14399999999999999</v>
      </c>
      <c r="B13">
        <v>0.8044</v>
      </c>
      <c r="C13">
        <v>307.413544</v>
      </c>
      <c r="D13">
        <v>0</v>
      </c>
      <c r="G13">
        <f t="shared" si="1"/>
        <v>0.13199999999999998</v>
      </c>
      <c r="H13">
        <f>(H12+H11+H15)/3</f>
        <v>9.2585786666666667</v>
      </c>
    </row>
    <row r="14" spans="1:8" x14ac:dyDescent="0.35">
      <c r="A14">
        <f t="shared" si="0"/>
        <v>0.156</v>
      </c>
      <c r="B14">
        <v>0.80432000000000003</v>
      </c>
      <c r="C14">
        <v>307.38293499999997</v>
      </c>
      <c r="D14">
        <v>-3.0609000000000001E-2</v>
      </c>
      <c r="G14">
        <f t="shared" si="1"/>
        <v>0.14399999999999999</v>
      </c>
      <c r="H14">
        <f>(H11+H12+H16)/3</f>
        <v>9.3401083333333332</v>
      </c>
    </row>
    <row r="15" spans="1:8" x14ac:dyDescent="0.35">
      <c r="A15">
        <f t="shared" si="0"/>
        <v>0.16800000000000001</v>
      </c>
      <c r="B15">
        <v>0.80432000000000003</v>
      </c>
      <c r="C15">
        <v>307.38293499999997</v>
      </c>
      <c r="D15">
        <v>0</v>
      </c>
      <c r="G15">
        <f t="shared" si="1"/>
        <v>0.156</v>
      </c>
      <c r="H15">
        <f t="shared" si="2"/>
        <v>9.9362890000000004</v>
      </c>
    </row>
    <row r="16" spans="1:8" x14ac:dyDescent="0.35">
      <c r="A16">
        <f t="shared" si="0"/>
        <v>0.18000000000000002</v>
      </c>
      <c r="B16">
        <v>0.80432000000000003</v>
      </c>
      <c r="C16">
        <v>307.38293499999997</v>
      </c>
      <c r="D16">
        <v>0</v>
      </c>
      <c r="G16">
        <f t="shared" si="1"/>
        <v>0.16800000000000001</v>
      </c>
      <c r="H16">
        <f t="shared" si="2"/>
        <v>10.180878</v>
      </c>
    </row>
    <row r="17" spans="1:19" x14ac:dyDescent="0.35">
      <c r="A17">
        <f t="shared" si="0"/>
        <v>0.19200000000000003</v>
      </c>
      <c r="B17">
        <v>0.8044</v>
      </c>
      <c r="C17">
        <v>307.413544</v>
      </c>
      <c r="D17">
        <v>3.0609000000000001E-2</v>
      </c>
      <c r="G17">
        <f t="shared" si="1"/>
        <v>0.18000000000000002</v>
      </c>
      <c r="H17">
        <f t="shared" si="2"/>
        <v>10.089153</v>
      </c>
    </row>
    <row r="18" spans="1:19" x14ac:dyDescent="0.35">
      <c r="A18">
        <f t="shared" si="0"/>
        <v>0.20400000000000004</v>
      </c>
      <c r="B18">
        <v>0.80432000000000003</v>
      </c>
      <c r="C18">
        <v>307.38293499999997</v>
      </c>
      <c r="D18">
        <v>-3.0609000000000001E-2</v>
      </c>
      <c r="G18">
        <f t="shared" si="1"/>
        <v>0.19200000000000003</v>
      </c>
      <c r="H18">
        <f t="shared" si="2"/>
        <v>10.303169</v>
      </c>
    </row>
    <row r="19" spans="1:19" x14ac:dyDescent="0.35">
      <c r="A19">
        <f t="shared" si="0"/>
        <v>0.21600000000000005</v>
      </c>
      <c r="B19">
        <v>0.8044</v>
      </c>
      <c r="C19">
        <v>307.413544</v>
      </c>
      <c r="D19">
        <v>3.0609000000000001E-2</v>
      </c>
      <c r="G19">
        <f t="shared" si="1"/>
        <v>0.20400000000000004</v>
      </c>
      <c r="H19">
        <f t="shared" si="2"/>
        <v>10.333740000000001</v>
      </c>
    </row>
    <row r="20" spans="1:19" x14ac:dyDescent="0.35">
      <c r="A20">
        <f t="shared" si="0"/>
        <v>0.22800000000000006</v>
      </c>
      <c r="B20">
        <v>0.8044</v>
      </c>
      <c r="C20">
        <v>307.413544</v>
      </c>
      <c r="D20">
        <v>0</v>
      </c>
      <c r="G20">
        <f t="shared" si="1"/>
        <v>0.21600000000000005</v>
      </c>
      <c r="H20">
        <f t="shared" si="2"/>
        <v>10.517181000000001</v>
      </c>
    </row>
    <row r="21" spans="1:19" x14ac:dyDescent="0.35">
      <c r="A21">
        <f t="shared" si="0"/>
        <v>0.24000000000000007</v>
      </c>
      <c r="B21">
        <v>0.8044</v>
      </c>
      <c r="C21">
        <v>307.413544</v>
      </c>
      <c r="D21">
        <v>0</v>
      </c>
      <c r="G21">
        <f t="shared" si="1"/>
        <v>0.22800000000000006</v>
      </c>
      <c r="H21">
        <f t="shared" si="2"/>
        <v>10.425461</v>
      </c>
    </row>
    <row r="22" spans="1:19" x14ac:dyDescent="0.35">
      <c r="A22">
        <f t="shared" si="0"/>
        <v>0.25200000000000006</v>
      </c>
      <c r="B22">
        <v>0.8044</v>
      </c>
      <c r="C22">
        <v>307.413544</v>
      </c>
      <c r="D22">
        <v>0</v>
      </c>
      <c r="G22">
        <f t="shared" si="1"/>
        <v>0.24000000000000007</v>
      </c>
      <c r="H22">
        <f t="shared" si="2"/>
        <v>10.456032</v>
      </c>
      <c r="R22" t="s">
        <v>10</v>
      </c>
      <c r="S22">
        <v>10.3</v>
      </c>
    </row>
    <row r="23" spans="1:19" x14ac:dyDescent="0.35">
      <c r="A23">
        <f t="shared" si="0"/>
        <v>0.26400000000000007</v>
      </c>
      <c r="B23">
        <v>0.80432000000000003</v>
      </c>
      <c r="C23">
        <v>307.38293499999997</v>
      </c>
      <c r="D23">
        <v>-3.0609000000000001E-2</v>
      </c>
      <c r="G23">
        <f t="shared" si="1"/>
        <v>0.25200000000000006</v>
      </c>
      <c r="H23">
        <f t="shared" si="2"/>
        <v>10.333740000000001</v>
      </c>
      <c r="R23" t="s">
        <v>11</v>
      </c>
      <c r="S23" s="2">
        <f>S22*0.63</f>
        <v>6.4890000000000008</v>
      </c>
    </row>
    <row r="24" spans="1:19" x14ac:dyDescent="0.35">
      <c r="A24">
        <f t="shared" si="0"/>
        <v>0.27600000000000008</v>
      </c>
      <c r="B24">
        <v>0.8044</v>
      </c>
      <c r="C24">
        <v>307.413544</v>
      </c>
      <c r="D24">
        <v>3.0609000000000001E-2</v>
      </c>
    </row>
    <row r="25" spans="1:19" x14ac:dyDescent="0.35">
      <c r="A25">
        <f t="shared" si="0"/>
        <v>0.28800000000000009</v>
      </c>
      <c r="B25">
        <v>0.80432000000000003</v>
      </c>
      <c r="C25">
        <v>307.38293499999997</v>
      </c>
      <c r="D25">
        <v>-3.0609000000000001E-2</v>
      </c>
      <c r="R25" t="s">
        <v>4</v>
      </c>
      <c r="S25" s="1">
        <f>(G8-4*10^-3+G9)/2</f>
        <v>7.5999999999999984E-2</v>
      </c>
    </row>
    <row r="26" spans="1:19" x14ac:dyDescent="0.35">
      <c r="A26">
        <f t="shared" si="0"/>
        <v>0.3000000000000001</v>
      </c>
      <c r="B26">
        <v>0.8044</v>
      </c>
      <c r="C26">
        <v>307.413544</v>
      </c>
      <c r="D26">
        <v>3.0609000000000001E-2</v>
      </c>
    </row>
    <row r="27" spans="1:19" x14ac:dyDescent="0.35">
      <c r="A27">
        <f t="shared" si="0"/>
        <v>0.31200000000000011</v>
      </c>
      <c r="B27">
        <v>0.80432000000000003</v>
      </c>
      <c r="C27">
        <v>307.38293499999997</v>
      </c>
      <c r="D27">
        <v>-3.0609000000000001E-2</v>
      </c>
    </row>
    <row r="28" spans="1:19" x14ac:dyDescent="0.35">
      <c r="A28">
        <f t="shared" si="0"/>
        <v>0.32400000000000012</v>
      </c>
      <c r="B28">
        <v>0.8044</v>
      </c>
      <c r="C28">
        <v>307.413544</v>
      </c>
      <c r="D28">
        <v>3.0609000000000001E-2</v>
      </c>
      <c r="R28" t="s">
        <v>5</v>
      </c>
      <c r="S28">
        <v>2.25</v>
      </c>
    </row>
    <row r="29" spans="1:19" x14ac:dyDescent="0.35">
      <c r="A29">
        <f t="shared" si="0"/>
        <v>0.33600000000000013</v>
      </c>
      <c r="B29">
        <v>0.8044</v>
      </c>
      <c r="C29">
        <v>307.413544</v>
      </c>
      <c r="D29">
        <v>0</v>
      </c>
      <c r="R29" t="s">
        <v>6</v>
      </c>
      <c r="S29">
        <v>0.22</v>
      </c>
    </row>
    <row r="30" spans="1:19" x14ac:dyDescent="0.35">
      <c r="A30">
        <f t="shared" si="0"/>
        <v>0.34800000000000014</v>
      </c>
      <c r="B30">
        <v>0.8044</v>
      </c>
      <c r="C30">
        <v>307.413544</v>
      </c>
      <c r="D30">
        <v>0</v>
      </c>
      <c r="R30" t="s">
        <v>7</v>
      </c>
      <c r="S30">
        <v>0.123</v>
      </c>
    </row>
    <row r="31" spans="1:19" x14ac:dyDescent="0.35">
      <c r="A31">
        <f t="shared" si="0"/>
        <v>0.36000000000000015</v>
      </c>
      <c r="B31">
        <v>0.8044</v>
      </c>
      <c r="C31">
        <v>307.413544</v>
      </c>
      <c r="D31">
        <v>0</v>
      </c>
      <c r="R31" t="s">
        <v>8</v>
      </c>
      <c r="S31">
        <v>2.8</v>
      </c>
    </row>
    <row r="32" spans="1:19" x14ac:dyDescent="0.35">
      <c r="A32">
        <f t="shared" si="0"/>
        <v>0.37200000000000016</v>
      </c>
      <c r="B32">
        <v>0.8044</v>
      </c>
      <c r="C32">
        <v>307.413544</v>
      </c>
      <c r="D32">
        <v>0</v>
      </c>
    </row>
    <row r="33" spans="1:19" x14ac:dyDescent="0.35">
      <c r="A33">
        <f t="shared" si="0"/>
        <v>0.38400000000000017</v>
      </c>
      <c r="B33">
        <v>0.80432000000000003</v>
      </c>
      <c r="C33">
        <v>307.38293499999997</v>
      </c>
      <c r="D33">
        <v>-3.0609000000000001E-2</v>
      </c>
      <c r="R33" t="s">
        <v>9</v>
      </c>
      <c r="S33">
        <f>(S25*(S31*S30+S29*S28))/(S31)</f>
        <v>2.2783714285714282E-2</v>
      </c>
    </row>
    <row r="34" spans="1:19" x14ac:dyDescent="0.35">
      <c r="A34">
        <f t="shared" si="0"/>
        <v>0.39600000000000019</v>
      </c>
      <c r="B34">
        <v>0.8044</v>
      </c>
      <c r="C34">
        <v>307.413544</v>
      </c>
      <c r="D34">
        <v>3.0609000000000001E-2</v>
      </c>
    </row>
    <row r="35" spans="1:19" x14ac:dyDescent="0.35">
      <c r="A35">
        <f t="shared" si="0"/>
        <v>0.4080000000000002</v>
      </c>
      <c r="B35">
        <v>0.8044</v>
      </c>
      <c r="C35">
        <v>307.413544</v>
      </c>
      <c r="D35">
        <v>0</v>
      </c>
    </row>
    <row r="36" spans="1:19" x14ac:dyDescent="0.35">
      <c r="A36">
        <f t="shared" si="0"/>
        <v>0.42000000000000021</v>
      </c>
      <c r="B36">
        <v>0.80432000000000003</v>
      </c>
      <c r="C36">
        <v>307.38293499999997</v>
      </c>
      <c r="D36">
        <v>-3.0609000000000001E-2</v>
      </c>
    </row>
    <row r="37" spans="1:19" x14ac:dyDescent="0.35">
      <c r="A37">
        <f t="shared" si="0"/>
        <v>0.43200000000000022</v>
      </c>
      <c r="B37">
        <v>0.8044</v>
      </c>
      <c r="C37">
        <v>307.413544</v>
      </c>
      <c r="D37">
        <v>3.0609000000000001E-2</v>
      </c>
    </row>
    <row r="38" spans="1:19" x14ac:dyDescent="0.35">
      <c r="A38">
        <f t="shared" si="0"/>
        <v>0.44400000000000023</v>
      </c>
      <c r="B38">
        <v>0.8044</v>
      </c>
      <c r="C38">
        <v>307.413544</v>
      </c>
      <c r="D38">
        <v>0</v>
      </c>
    </row>
    <row r="39" spans="1:19" x14ac:dyDescent="0.35">
      <c r="A39">
        <f t="shared" si="0"/>
        <v>0.45600000000000024</v>
      </c>
      <c r="B39">
        <v>0.80432000000000003</v>
      </c>
      <c r="C39">
        <v>307.38293499999997</v>
      </c>
      <c r="D39">
        <v>-3.0609000000000001E-2</v>
      </c>
    </row>
    <row r="40" spans="1:19" x14ac:dyDescent="0.35">
      <c r="A40">
        <f t="shared" si="0"/>
        <v>0.46800000000000025</v>
      </c>
      <c r="B40">
        <v>0.80432000000000003</v>
      </c>
      <c r="C40">
        <v>307.38293499999997</v>
      </c>
      <c r="D40">
        <v>0</v>
      </c>
    </row>
    <row r="41" spans="1:19" x14ac:dyDescent="0.35">
      <c r="A41">
        <f t="shared" si="0"/>
        <v>0.48000000000000026</v>
      </c>
      <c r="B41">
        <v>0.80432000000000003</v>
      </c>
      <c r="C41">
        <v>307.38293499999997</v>
      </c>
      <c r="D41">
        <v>0</v>
      </c>
    </row>
    <row r="42" spans="1:19" x14ac:dyDescent="0.35">
      <c r="A42">
        <f t="shared" si="0"/>
        <v>0.49200000000000027</v>
      </c>
      <c r="B42">
        <v>0.80376000000000003</v>
      </c>
      <c r="C42">
        <v>307.16894500000001</v>
      </c>
      <c r="D42">
        <v>-0.21398900000000001</v>
      </c>
    </row>
    <row r="43" spans="1:19" x14ac:dyDescent="0.35">
      <c r="A43">
        <f t="shared" si="0"/>
        <v>0.50400000000000023</v>
      </c>
      <c r="B43">
        <v>0.8044</v>
      </c>
      <c r="C43">
        <v>307.413544</v>
      </c>
      <c r="D43">
        <v>0.24459800000000001</v>
      </c>
    </row>
    <row r="44" spans="1:19" x14ac:dyDescent="0.35">
      <c r="A44">
        <f t="shared" si="0"/>
        <v>0.51600000000000024</v>
      </c>
      <c r="B44">
        <v>0.8044</v>
      </c>
      <c r="C44">
        <v>307.413544</v>
      </c>
      <c r="D44">
        <v>0</v>
      </c>
    </row>
    <row r="45" spans="1:19" x14ac:dyDescent="0.35">
      <c r="A45">
        <f t="shared" si="0"/>
        <v>0.52800000000000025</v>
      </c>
      <c r="B45">
        <v>0.80391999999999997</v>
      </c>
      <c r="C45">
        <v>307.23007200000001</v>
      </c>
      <c r="D45">
        <v>-0.183472</v>
      </c>
    </row>
    <row r="46" spans="1:19" x14ac:dyDescent="0.35">
      <c r="A46">
        <f t="shared" si="0"/>
        <v>0.54000000000000026</v>
      </c>
      <c r="B46">
        <v>0.8044</v>
      </c>
      <c r="C46">
        <v>307.413544</v>
      </c>
      <c r="D46">
        <v>0.183472</v>
      </c>
    </row>
    <row r="47" spans="1:19" x14ac:dyDescent="0.35">
      <c r="A47">
        <f t="shared" si="0"/>
        <v>0.55200000000000027</v>
      </c>
      <c r="B47">
        <v>0.80408000000000002</v>
      </c>
      <c r="C47">
        <v>307.29122899999999</v>
      </c>
      <c r="D47">
        <v>-0.12231400000000001</v>
      </c>
    </row>
    <row r="48" spans="1:19" x14ac:dyDescent="0.35">
      <c r="A48">
        <f t="shared" si="0"/>
        <v>0.56400000000000028</v>
      </c>
      <c r="B48">
        <v>0.80423999999999995</v>
      </c>
      <c r="C48">
        <v>307.35238600000002</v>
      </c>
      <c r="D48">
        <v>6.1157000000000003E-2</v>
      </c>
    </row>
    <row r="49" spans="1:4" x14ac:dyDescent="0.35">
      <c r="A49">
        <f t="shared" si="0"/>
        <v>0.57600000000000029</v>
      </c>
      <c r="B49">
        <v>0.80432000000000003</v>
      </c>
      <c r="C49">
        <v>307.38293499999997</v>
      </c>
      <c r="D49">
        <v>3.0547999999999999E-2</v>
      </c>
    </row>
    <row r="50" spans="1:4" x14ac:dyDescent="0.35">
      <c r="A50">
        <f t="shared" si="0"/>
        <v>0.5880000000000003</v>
      </c>
      <c r="B50">
        <v>0.80432000000000003</v>
      </c>
      <c r="C50">
        <v>307.38293499999997</v>
      </c>
      <c r="D50">
        <v>0</v>
      </c>
    </row>
    <row r="51" spans="1:4" x14ac:dyDescent="0.35">
      <c r="A51">
        <f t="shared" si="0"/>
        <v>0.60000000000000031</v>
      </c>
      <c r="B51">
        <v>0.80415999999999999</v>
      </c>
      <c r="C51">
        <v>307.32180799999998</v>
      </c>
      <c r="D51">
        <v>-6.1127000000000001E-2</v>
      </c>
    </row>
    <row r="52" spans="1:4" x14ac:dyDescent="0.35">
      <c r="A52">
        <f t="shared" si="0"/>
        <v>0.61200000000000032</v>
      </c>
      <c r="B52">
        <v>0.8044</v>
      </c>
      <c r="C52">
        <v>307.413544</v>
      </c>
      <c r="D52">
        <v>9.1735999999999998E-2</v>
      </c>
    </row>
    <row r="53" spans="1:4" x14ac:dyDescent="0.35">
      <c r="A53">
        <f t="shared" si="0"/>
        <v>0.62400000000000033</v>
      </c>
      <c r="B53">
        <v>0.80423999999999995</v>
      </c>
      <c r="C53">
        <v>307.35238600000002</v>
      </c>
      <c r="D53">
        <v>-6.1157000000000003E-2</v>
      </c>
    </row>
    <row r="54" spans="1:4" x14ac:dyDescent="0.35">
      <c r="A54">
        <f t="shared" si="0"/>
        <v>0.63600000000000034</v>
      </c>
      <c r="B54">
        <v>0.80432000000000003</v>
      </c>
      <c r="C54">
        <v>307.38293499999997</v>
      </c>
      <c r="D54">
        <v>3.0547999999999999E-2</v>
      </c>
    </row>
    <row r="55" spans="1:4" x14ac:dyDescent="0.35">
      <c r="A55">
        <f t="shared" si="0"/>
        <v>0.64800000000000035</v>
      </c>
      <c r="B55">
        <v>0.8044</v>
      </c>
      <c r="C55">
        <v>307.413544</v>
      </c>
      <c r="D55">
        <v>3.0609000000000001E-2</v>
      </c>
    </row>
    <row r="56" spans="1:4" x14ac:dyDescent="0.35">
      <c r="A56">
        <f t="shared" si="0"/>
        <v>0.66000000000000036</v>
      </c>
      <c r="B56">
        <v>0.80408000000000002</v>
      </c>
      <c r="C56">
        <v>307.29122899999999</v>
      </c>
      <c r="D56">
        <v>-0.12231400000000001</v>
      </c>
    </row>
    <row r="57" spans="1:4" x14ac:dyDescent="0.35">
      <c r="A57">
        <f t="shared" si="0"/>
        <v>0.67200000000000037</v>
      </c>
      <c r="B57">
        <v>0.8044</v>
      </c>
      <c r="C57">
        <v>307.413544</v>
      </c>
      <c r="D57">
        <v>0.12231400000000001</v>
      </c>
    </row>
    <row r="58" spans="1:4" x14ac:dyDescent="0.35">
      <c r="A58">
        <f t="shared" si="0"/>
        <v>0.68400000000000039</v>
      </c>
      <c r="B58">
        <v>0.80432000000000003</v>
      </c>
      <c r="C58">
        <v>307.38293499999997</v>
      </c>
      <c r="D58">
        <v>-3.0609000000000001E-2</v>
      </c>
    </row>
    <row r="59" spans="1:4" x14ac:dyDescent="0.35">
      <c r="A59">
        <f t="shared" si="0"/>
        <v>0.6960000000000004</v>
      </c>
      <c r="B59">
        <v>0.80432000000000003</v>
      </c>
      <c r="C59">
        <v>307.38293499999997</v>
      </c>
      <c r="D59">
        <v>0</v>
      </c>
    </row>
    <row r="60" spans="1:4" x14ac:dyDescent="0.35">
      <c r="A60">
        <f t="shared" si="0"/>
        <v>0.70800000000000041</v>
      </c>
      <c r="B60">
        <v>0.8044</v>
      </c>
      <c r="C60">
        <v>307.413544</v>
      </c>
      <c r="D60">
        <v>3.0609000000000001E-2</v>
      </c>
    </row>
    <row r="61" spans="1:4" x14ac:dyDescent="0.35">
      <c r="A61">
        <f t="shared" si="0"/>
        <v>0.72000000000000042</v>
      </c>
      <c r="B61">
        <v>0.80432000000000003</v>
      </c>
      <c r="C61">
        <v>307.38293499999997</v>
      </c>
      <c r="D61">
        <v>-3.0609000000000001E-2</v>
      </c>
    </row>
    <row r="62" spans="1:4" x14ac:dyDescent="0.35">
      <c r="A62">
        <f t="shared" si="0"/>
        <v>0.73200000000000043</v>
      </c>
      <c r="B62">
        <v>0.80432000000000003</v>
      </c>
      <c r="C62">
        <v>307.38293499999997</v>
      </c>
      <c r="D62">
        <v>0</v>
      </c>
    </row>
    <row r="63" spans="1:4" x14ac:dyDescent="0.35">
      <c r="A63">
        <f t="shared" si="0"/>
        <v>0.74400000000000044</v>
      </c>
      <c r="B63">
        <v>0.8044</v>
      </c>
      <c r="C63">
        <v>307.413544</v>
      </c>
      <c r="D63">
        <v>3.0609000000000001E-2</v>
      </c>
    </row>
    <row r="64" spans="1:4" x14ac:dyDescent="0.35">
      <c r="A64">
        <f t="shared" si="0"/>
        <v>0.75600000000000045</v>
      </c>
      <c r="B64">
        <v>0.80423999999999995</v>
      </c>
      <c r="C64">
        <v>307.35238600000002</v>
      </c>
      <c r="D64">
        <v>-6.1157000000000003E-2</v>
      </c>
    </row>
    <row r="65" spans="1:4" x14ac:dyDescent="0.35">
      <c r="A65">
        <f t="shared" si="0"/>
        <v>0.76800000000000046</v>
      </c>
      <c r="B65">
        <v>0.8044</v>
      </c>
      <c r="C65">
        <v>307.413544</v>
      </c>
      <c r="D65">
        <v>6.1157000000000003E-2</v>
      </c>
    </row>
    <row r="66" spans="1:4" x14ac:dyDescent="0.35">
      <c r="A66">
        <f t="shared" si="0"/>
        <v>0.78000000000000047</v>
      </c>
      <c r="B66">
        <v>0.80432000000000003</v>
      </c>
      <c r="C66">
        <v>307.38293499999997</v>
      </c>
      <c r="D66">
        <v>-3.0609000000000001E-2</v>
      </c>
    </row>
    <row r="67" spans="1:4" x14ac:dyDescent="0.35">
      <c r="A67">
        <f t="shared" si="0"/>
        <v>0.79200000000000048</v>
      </c>
      <c r="B67">
        <v>0.8044</v>
      </c>
      <c r="C67">
        <v>307.413544</v>
      </c>
      <c r="D67">
        <v>3.0609000000000001E-2</v>
      </c>
    </row>
    <row r="68" spans="1:4" x14ac:dyDescent="0.35">
      <c r="A68">
        <f t="shared" ref="A68:A131" si="3">A67+12*10^-3</f>
        <v>0.80400000000000049</v>
      </c>
      <c r="B68">
        <v>0.80432000000000003</v>
      </c>
      <c r="C68">
        <v>307.38293499999997</v>
      </c>
      <c r="D68">
        <v>-3.0609000000000001E-2</v>
      </c>
    </row>
    <row r="69" spans="1:4" x14ac:dyDescent="0.35">
      <c r="A69">
        <f t="shared" si="3"/>
        <v>0.8160000000000005</v>
      </c>
      <c r="B69">
        <v>0.8044</v>
      </c>
      <c r="C69">
        <v>307.413544</v>
      </c>
      <c r="D69">
        <v>3.0609000000000001E-2</v>
      </c>
    </row>
    <row r="70" spans="1:4" x14ac:dyDescent="0.35">
      <c r="A70">
        <f t="shared" si="3"/>
        <v>0.82800000000000051</v>
      </c>
      <c r="B70">
        <v>0.8044</v>
      </c>
      <c r="C70">
        <v>307.413544</v>
      </c>
      <c r="D70">
        <v>0</v>
      </c>
    </row>
    <row r="71" spans="1:4" x14ac:dyDescent="0.35">
      <c r="A71">
        <f t="shared" si="3"/>
        <v>0.84000000000000052</v>
      </c>
      <c r="B71">
        <v>0.8044</v>
      </c>
      <c r="C71">
        <v>307.413544</v>
      </c>
      <c r="D71">
        <v>0</v>
      </c>
    </row>
    <row r="72" spans="1:4" x14ac:dyDescent="0.35">
      <c r="A72">
        <f t="shared" si="3"/>
        <v>0.85200000000000053</v>
      </c>
      <c r="B72">
        <v>0.80432000000000003</v>
      </c>
      <c r="C72">
        <v>307.38293499999997</v>
      </c>
      <c r="D72">
        <v>-3.0609000000000001E-2</v>
      </c>
    </row>
    <row r="73" spans="1:4" x14ac:dyDescent="0.35">
      <c r="A73">
        <f t="shared" si="3"/>
        <v>0.86400000000000055</v>
      </c>
      <c r="B73">
        <v>0.8044</v>
      </c>
      <c r="C73">
        <v>307.413544</v>
      </c>
      <c r="D73">
        <v>3.0609000000000001E-2</v>
      </c>
    </row>
    <row r="74" spans="1:4" x14ac:dyDescent="0.35">
      <c r="A74">
        <f t="shared" si="3"/>
        <v>0.87600000000000056</v>
      </c>
      <c r="B74">
        <v>0.8044</v>
      </c>
      <c r="C74">
        <v>307.413544</v>
      </c>
      <c r="D74">
        <v>0</v>
      </c>
    </row>
    <row r="75" spans="1:4" x14ac:dyDescent="0.35">
      <c r="A75">
        <f t="shared" si="3"/>
        <v>0.88800000000000057</v>
      </c>
      <c r="B75">
        <v>0.8044</v>
      </c>
      <c r="C75">
        <v>307.413544</v>
      </c>
      <c r="D75">
        <v>0</v>
      </c>
    </row>
    <row r="76" spans="1:4" x14ac:dyDescent="0.35">
      <c r="A76">
        <f t="shared" si="3"/>
        <v>0.90000000000000058</v>
      </c>
      <c r="B76">
        <v>0.80344000000000004</v>
      </c>
      <c r="C76">
        <v>307.04663099999999</v>
      </c>
      <c r="D76">
        <v>-0.36691299999999999</v>
      </c>
    </row>
    <row r="77" spans="1:4" x14ac:dyDescent="0.35">
      <c r="A77">
        <f t="shared" si="3"/>
        <v>0.91200000000000059</v>
      </c>
      <c r="B77">
        <v>0.80415999999999999</v>
      </c>
      <c r="C77">
        <v>307.32180799999998</v>
      </c>
      <c r="D77">
        <v>0.275177</v>
      </c>
    </row>
    <row r="78" spans="1:4" x14ac:dyDescent="0.35">
      <c r="A78">
        <f t="shared" si="3"/>
        <v>0.9240000000000006</v>
      </c>
      <c r="B78">
        <v>0.80384</v>
      </c>
      <c r="C78">
        <v>307.19949300000002</v>
      </c>
      <c r="D78">
        <v>-0.12231400000000001</v>
      </c>
    </row>
    <row r="79" spans="1:4" x14ac:dyDescent="0.35">
      <c r="A79">
        <f t="shared" si="3"/>
        <v>0.93600000000000061</v>
      </c>
      <c r="B79">
        <v>0.80423999999999995</v>
      </c>
      <c r="C79">
        <v>307.35238600000002</v>
      </c>
      <c r="D79">
        <v>0.152893</v>
      </c>
    </row>
    <row r="80" spans="1:4" x14ac:dyDescent="0.35">
      <c r="A80">
        <f t="shared" si="3"/>
        <v>0.94800000000000062</v>
      </c>
      <c r="B80">
        <v>0.80408000000000002</v>
      </c>
      <c r="C80">
        <v>307.29122899999999</v>
      </c>
      <c r="D80">
        <v>-6.1157000000000003E-2</v>
      </c>
    </row>
    <row r="81" spans="1:4" x14ac:dyDescent="0.35">
      <c r="A81">
        <f t="shared" si="3"/>
        <v>0.96000000000000063</v>
      </c>
      <c r="B81">
        <v>0.80432000000000003</v>
      </c>
      <c r="C81">
        <v>307.38293499999997</v>
      </c>
      <c r="D81">
        <v>9.1704999999999995E-2</v>
      </c>
    </row>
    <row r="82" spans="1:4" x14ac:dyDescent="0.35">
      <c r="A82">
        <f t="shared" si="3"/>
        <v>0.97200000000000064</v>
      </c>
      <c r="B82">
        <v>0.80432000000000003</v>
      </c>
      <c r="C82">
        <v>307.38293499999997</v>
      </c>
      <c r="D82">
        <v>0</v>
      </c>
    </row>
    <row r="83" spans="1:4" x14ac:dyDescent="0.35">
      <c r="A83">
        <f t="shared" si="3"/>
        <v>0.98400000000000065</v>
      </c>
      <c r="B83">
        <v>0.80384</v>
      </c>
      <c r="C83">
        <v>307.19949300000002</v>
      </c>
      <c r="D83">
        <v>-0.18344099999999999</v>
      </c>
    </row>
    <row r="84" spans="1:4" x14ac:dyDescent="0.35">
      <c r="A84">
        <f t="shared" si="3"/>
        <v>0.99600000000000066</v>
      </c>
      <c r="B84">
        <v>0.80432000000000003</v>
      </c>
      <c r="C84">
        <v>307.38293499999997</v>
      </c>
      <c r="D84">
        <v>0.18344099999999999</v>
      </c>
    </row>
    <row r="85" spans="1:4" x14ac:dyDescent="0.35">
      <c r="A85">
        <f t="shared" si="3"/>
        <v>1.0080000000000007</v>
      </c>
      <c r="B85">
        <v>0.80359999999999998</v>
      </c>
      <c r="C85">
        <v>307.10778800000003</v>
      </c>
      <c r="D85">
        <v>-0.275146</v>
      </c>
    </row>
    <row r="86" spans="1:4" x14ac:dyDescent="0.35">
      <c r="A86">
        <f t="shared" si="3"/>
        <v>1.0200000000000007</v>
      </c>
      <c r="B86">
        <v>0.80456000000000005</v>
      </c>
      <c r="C86">
        <v>307.47467</v>
      </c>
      <c r="D86">
        <v>0.36688199999999999</v>
      </c>
    </row>
    <row r="87" spans="1:4" x14ac:dyDescent="0.35">
      <c r="A87">
        <f t="shared" si="3"/>
        <v>1.0320000000000007</v>
      </c>
      <c r="B87">
        <v>0.81072</v>
      </c>
      <c r="C87">
        <v>309.82882699999999</v>
      </c>
      <c r="D87">
        <v>2.3541560000000001</v>
      </c>
    </row>
    <row r="88" spans="1:4" x14ac:dyDescent="0.35">
      <c r="A88">
        <f t="shared" si="3"/>
        <v>1.0440000000000007</v>
      </c>
      <c r="B88">
        <v>0.81911999999999996</v>
      </c>
      <c r="C88">
        <v>313.03900099999998</v>
      </c>
      <c r="D88">
        <v>3.210175</v>
      </c>
    </row>
    <row r="89" spans="1:4" x14ac:dyDescent="0.35">
      <c r="A89">
        <f t="shared" si="3"/>
        <v>1.0560000000000007</v>
      </c>
      <c r="B89">
        <v>0.83087999999999995</v>
      </c>
      <c r="C89">
        <v>317.53326399999997</v>
      </c>
      <c r="D89">
        <v>4.4942630000000001</v>
      </c>
    </row>
    <row r="90" spans="1:4" x14ac:dyDescent="0.35">
      <c r="A90">
        <f t="shared" si="3"/>
        <v>1.0680000000000007</v>
      </c>
      <c r="B90">
        <v>0.84528000000000003</v>
      </c>
      <c r="C90">
        <v>323.03643799999998</v>
      </c>
      <c r="D90">
        <v>5.5031739999999996</v>
      </c>
    </row>
    <row r="91" spans="1:4" x14ac:dyDescent="0.35">
      <c r="A91">
        <f t="shared" si="3"/>
        <v>1.0800000000000007</v>
      </c>
      <c r="B91">
        <v>0.86136000000000001</v>
      </c>
      <c r="C91">
        <v>329.18164100000001</v>
      </c>
      <c r="D91">
        <v>6.1452030000000004</v>
      </c>
    </row>
    <row r="92" spans="1:4" x14ac:dyDescent="0.35">
      <c r="A92">
        <f t="shared" si="3"/>
        <v>1.0920000000000007</v>
      </c>
      <c r="B92">
        <v>0.88</v>
      </c>
      <c r="C92">
        <v>336.305206</v>
      </c>
      <c r="D92">
        <v>7.1235660000000003</v>
      </c>
    </row>
    <row r="93" spans="1:4" x14ac:dyDescent="0.35">
      <c r="A93">
        <f t="shared" si="3"/>
        <v>1.1040000000000008</v>
      </c>
      <c r="B93">
        <v>0.90064</v>
      </c>
      <c r="C93">
        <v>344.193085</v>
      </c>
      <c r="D93">
        <v>7.8878779999999997</v>
      </c>
    </row>
    <row r="94" spans="1:4" x14ac:dyDescent="0.35">
      <c r="A94">
        <f t="shared" si="3"/>
        <v>1.1160000000000008</v>
      </c>
      <c r="B94">
        <v>0.92512000000000005</v>
      </c>
      <c r="C94">
        <v>353.54849200000001</v>
      </c>
      <c r="D94">
        <v>9.3554080000000006</v>
      </c>
    </row>
    <row r="95" spans="1:4" x14ac:dyDescent="0.35">
      <c r="A95">
        <f t="shared" si="3"/>
        <v>1.1280000000000008</v>
      </c>
      <c r="B95">
        <v>0.94935999999999998</v>
      </c>
      <c r="C95">
        <v>362.812164</v>
      </c>
      <c r="D95">
        <v>9.2636719999999997</v>
      </c>
    </row>
    <row r="96" spans="1:4" x14ac:dyDescent="0.35">
      <c r="A96">
        <f t="shared" si="3"/>
        <v>1.1400000000000008</v>
      </c>
      <c r="B96">
        <v>0.45839999999999997</v>
      </c>
      <c r="C96">
        <v>175.18443300000001</v>
      </c>
    </row>
    <row r="97" spans="1:4" x14ac:dyDescent="0.35">
      <c r="A97">
        <f t="shared" si="3"/>
        <v>1.1520000000000008</v>
      </c>
      <c r="B97">
        <v>5.9279999999999999E-2</v>
      </c>
      <c r="C97">
        <v>22.654741000000001</v>
      </c>
    </row>
    <row r="98" spans="1:4" x14ac:dyDescent="0.35">
      <c r="A98">
        <f t="shared" si="3"/>
        <v>1.1640000000000008</v>
      </c>
      <c r="B98">
        <v>8.5279999999999995E-2</v>
      </c>
      <c r="C98">
        <v>32.591030000000003</v>
      </c>
      <c r="D98">
        <v>9.9362890000000004</v>
      </c>
    </row>
    <row r="99" spans="1:4" x14ac:dyDescent="0.35">
      <c r="A99">
        <f t="shared" si="3"/>
        <v>1.1760000000000008</v>
      </c>
      <c r="B99">
        <v>0.11192000000000001</v>
      </c>
      <c r="C99">
        <v>42.771908000000003</v>
      </c>
      <c r="D99">
        <v>10.180878</v>
      </c>
    </row>
    <row r="100" spans="1:4" x14ac:dyDescent="0.35">
      <c r="A100">
        <f t="shared" si="3"/>
        <v>1.1880000000000008</v>
      </c>
      <c r="B100">
        <v>0.13832</v>
      </c>
      <c r="C100">
        <v>52.861060999999999</v>
      </c>
      <c r="D100">
        <v>10.089153</v>
      </c>
    </row>
    <row r="101" spans="1:4" x14ac:dyDescent="0.35">
      <c r="A101">
        <f t="shared" si="3"/>
        <v>1.2000000000000008</v>
      </c>
      <c r="B101">
        <v>0.16528000000000001</v>
      </c>
      <c r="C101">
        <v>63.164230000000003</v>
      </c>
      <c r="D101">
        <v>10.303169</v>
      </c>
    </row>
    <row r="102" spans="1:4" x14ac:dyDescent="0.35">
      <c r="A102">
        <f t="shared" si="3"/>
        <v>1.2120000000000009</v>
      </c>
      <c r="B102">
        <v>0.19231999999999999</v>
      </c>
      <c r="C102">
        <v>73.497971000000007</v>
      </c>
      <c r="D102">
        <v>10.333740000000001</v>
      </c>
    </row>
    <row r="103" spans="1:4" x14ac:dyDescent="0.35">
      <c r="A103">
        <f t="shared" si="3"/>
        <v>1.2240000000000009</v>
      </c>
      <c r="B103">
        <v>0.21984000000000001</v>
      </c>
      <c r="C103">
        <v>84.015152</v>
      </c>
      <c r="D103">
        <v>10.517181000000001</v>
      </c>
    </row>
    <row r="104" spans="1:4" x14ac:dyDescent="0.35">
      <c r="A104">
        <f t="shared" si="3"/>
        <v>1.2360000000000009</v>
      </c>
      <c r="B104">
        <v>0.24712000000000001</v>
      </c>
      <c r="C104">
        <v>94.440612999999999</v>
      </c>
      <c r="D104">
        <v>10.425461</v>
      </c>
    </row>
    <row r="105" spans="1:4" x14ac:dyDescent="0.35">
      <c r="A105">
        <f t="shared" si="3"/>
        <v>1.2480000000000009</v>
      </c>
      <c r="B105">
        <v>0.27448</v>
      </c>
      <c r="C105">
        <v>104.89664500000001</v>
      </c>
      <c r="D105">
        <v>10.456032</v>
      </c>
    </row>
    <row r="106" spans="1:4" x14ac:dyDescent="0.35">
      <c r="A106">
        <f t="shared" si="3"/>
        <v>1.2600000000000009</v>
      </c>
      <c r="B106">
        <v>0.30152000000000001</v>
      </c>
      <c r="C106">
        <v>115.230385</v>
      </c>
      <c r="D106">
        <v>10.333740000000001</v>
      </c>
    </row>
    <row r="107" spans="1:4" x14ac:dyDescent="0.35">
      <c r="A107">
        <f t="shared" si="3"/>
        <v>1.2720000000000009</v>
      </c>
      <c r="B107">
        <v>0.32872000000000001</v>
      </c>
      <c r="C107">
        <v>125.625282</v>
      </c>
      <c r="D107">
        <v>10.394897</v>
      </c>
    </row>
    <row r="108" spans="1:4" x14ac:dyDescent="0.35">
      <c r="A108">
        <f t="shared" si="3"/>
        <v>1.2840000000000009</v>
      </c>
      <c r="B108">
        <v>0.35632000000000003</v>
      </c>
      <c r="C108">
        <v>136.173035</v>
      </c>
      <c r="D108">
        <v>10.547751999999999</v>
      </c>
    </row>
    <row r="109" spans="1:4" x14ac:dyDescent="0.35">
      <c r="A109">
        <f t="shared" si="3"/>
        <v>1.2960000000000009</v>
      </c>
      <c r="B109">
        <v>0.38303999999999999</v>
      </c>
      <c r="C109">
        <v>146.384491</v>
      </c>
      <c r="D109">
        <v>10.211456</v>
      </c>
    </row>
    <row r="110" spans="1:4" x14ac:dyDescent="0.35">
      <c r="A110">
        <f t="shared" si="3"/>
        <v>1.3080000000000009</v>
      </c>
      <c r="B110">
        <v>0.40976000000000001</v>
      </c>
      <c r="C110">
        <v>156.595932</v>
      </c>
      <c r="D110">
        <v>10.211441000000001</v>
      </c>
    </row>
    <row r="111" spans="1:4" x14ac:dyDescent="0.35">
      <c r="A111">
        <f t="shared" si="3"/>
        <v>1.320000000000001</v>
      </c>
      <c r="B111">
        <v>0.43680000000000002</v>
      </c>
      <c r="C111">
        <v>166.92967200000001</v>
      </c>
      <c r="D111">
        <v>10.333740000000001</v>
      </c>
    </row>
    <row r="112" spans="1:4" x14ac:dyDescent="0.35">
      <c r="A112">
        <f t="shared" si="3"/>
        <v>1.332000000000001</v>
      </c>
      <c r="B112">
        <v>0.46392</v>
      </c>
      <c r="C112">
        <v>177.29399100000001</v>
      </c>
      <c r="D112">
        <v>10.364319</v>
      </c>
    </row>
    <row r="113" spans="1:4" x14ac:dyDescent="0.35">
      <c r="A113">
        <f t="shared" si="3"/>
        <v>1.344000000000001</v>
      </c>
      <c r="B113">
        <v>0.49096000000000001</v>
      </c>
      <c r="C113">
        <v>187.62773100000001</v>
      </c>
      <c r="D113">
        <v>10.333740000000001</v>
      </c>
    </row>
    <row r="114" spans="1:4" x14ac:dyDescent="0.35">
      <c r="A114">
        <f t="shared" si="3"/>
        <v>1.356000000000001</v>
      </c>
      <c r="B114">
        <v>0.51807999999999998</v>
      </c>
      <c r="C114">
        <v>197.99203499999999</v>
      </c>
      <c r="D114">
        <v>10.364304000000001</v>
      </c>
    </row>
    <row r="115" spans="1:4" x14ac:dyDescent="0.35">
      <c r="A115">
        <f t="shared" si="3"/>
        <v>1.368000000000001</v>
      </c>
      <c r="B115">
        <v>0.54488000000000003</v>
      </c>
      <c r="C115">
        <v>208.23405500000001</v>
      </c>
      <c r="D115">
        <v>10.24202</v>
      </c>
    </row>
    <row r="116" spans="1:4" x14ac:dyDescent="0.35">
      <c r="A116">
        <f t="shared" si="3"/>
        <v>1.380000000000001</v>
      </c>
      <c r="B116">
        <v>0.57184000000000001</v>
      </c>
      <c r="C116">
        <v>218.53723099999999</v>
      </c>
      <c r="D116">
        <v>10.303177</v>
      </c>
    </row>
    <row r="117" spans="1:4" x14ac:dyDescent="0.35">
      <c r="A117">
        <f t="shared" si="3"/>
        <v>1.392000000000001</v>
      </c>
      <c r="B117">
        <v>0.59863999999999995</v>
      </c>
      <c r="C117">
        <v>228.77926600000001</v>
      </c>
      <c r="D117">
        <v>10.242035</v>
      </c>
    </row>
    <row r="118" spans="1:4" x14ac:dyDescent="0.35">
      <c r="A118">
        <f t="shared" si="3"/>
        <v>1.404000000000001</v>
      </c>
      <c r="B118">
        <v>0.62624000000000002</v>
      </c>
      <c r="C118">
        <v>239.327011</v>
      </c>
      <c r="D118">
        <v>10.547745000000001</v>
      </c>
    </row>
    <row r="119" spans="1:4" x14ac:dyDescent="0.35">
      <c r="A119">
        <f t="shared" si="3"/>
        <v>1.416000000000001</v>
      </c>
      <c r="B119">
        <v>0.65351999999999999</v>
      </c>
      <c r="C119">
        <v>249.75247200000001</v>
      </c>
      <c r="D119">
        <v>10.425461</v>
      </c>
    </row>
    <row r="120" spans="1:4" x14ac:dyDescent="0.35">
      <c r="A120">
        <f t="shared" si="3"/>
        <v>1.428000000000001</v>
      </c>
      <c r="B120">
        <v>0.68071999999999999</v>
      </c>
      <c r="C120">
        <v>260.14733899999999</v>
      </c>
      <c r="D120">
        <v>10.394867</v>
      </c>
    </row>
    <row r="121" spans="1:4" x14ac:dyDescent="0.35">
      <c r="A121">
        <f t="shared" si="3"/>
        <v>1.4400000000000011</v>
      </c>
      <c r="B121">
        <v>0.70791999999999999</v>
      </c>
      <c r="C121">
        <v>270.54226699999998</v>
      </c>
      <c r="D121">
        <v>10.394928</v>
      </c>
    </row>
    <row r="122" spans="1:4" x14ac:dyDescent="0.35">
      <c r="A122">
        <f t="shared" si="3"/>
        <v>1.4520000000000011</v>
      </c>
      <c r="B122">
        <v>0.73512</v>
      </c>
      <c r="C122">
        <v>280.93713400000001</v>
      </c>
      <c r="D122">
        <v>10.394867</v>
      </c>
    </row>
    <row r="123" spans="1:4" x14ac:dyDescent="0.35">
      <c r="A123">
        <f t="shared" si="3"/>
        <v>1.4640000000000011</v>
      </c>
      <c r="B123">
        <v>0.76232</v>
      </c>
      <c r="C123">
        <v>291.33200099999999</v>
      </c>
      <c r="D123">
        <v>10.394867</v>
      </c>
    </row>
    <row r="124" spans="1:4" x14ac:dyDescent="0.35">
      <c r="A124">
        <f t="shared" si="3"/>
        <v>1.4760000000000011</v>
      </c>
      <c r="B124">
        <v>0.78920000000000001</v>
      </c>
      <c r="C124">
        <v>301.60461400000003</v>
      </c>
      <c r="D124">
        <v>10.272614000000001</v>
      </c>
    </row>
    <row r="125" spans="1:4" x14ac:dyDescent="0.35">
      <c r="A125">
        <f t="shared" si="3"/>
        <v>1.4880000000000011</v>
      </c>
      <c r="B125">
        <v>0.81872</v>
      </c>
      <c r="C125">
        <v>312.88610799999998</v>
      </c>
      <c r="D125">
        <v>11.281494</v>
      </c>
    </row>
    <row r="126" spans="1:4" x14ac:dyDescent="0.35">
      <c r="A126">
        <f t="shared" si="3"/>
        <v>1.5000000000000011</v>
      </c>
      <c r="B126">
        <v>0.84543999999999997</v>
      </c>
      <c r="C126">
        <v>323.09756499999997</v>
      </c>
      <c r="D126">
        <v>10.211456</v>
      </c>
    </row>
    <row r="127" spans="1:4" x14ac:dyDescent="0.35">
      <c r="A127">
        <f t="shared" si="3"/>
        <v>1.5120000000000011</v>
      </c>
      <c r="B127">
        <v>0.87256</v>
      </c>
      <c r="C127">
        <v>333.46191399999998</v>
      </c>
      <c r="D127">
        <v>10.364349000000001</v>
      </c>
    </row>
    <row r="128" spans="1:4" x14ac:dyDescent="0.35">
      <c r="A128">
        <f t="shared" si="3"/>
        <v>1.5240000000000011</v>
      </c>
      <c r="B128">
        <v>0.89951999999999999</v>
      </c>
      <c r="C128">
        <v>343.76504499999999</v>
      </c>
      <c r="D128">
        <v>10.303131</v>
      </c>
    </row>
    <row r="129" spans="1:4" x14ac:dyDescent="0.35">
      <c r="A129">
        <f t="shared" si="3"/>
        <v>1.5360000000000011</v>
      </c>
      <c r="B129">
        <v>0.92671999999999999</v>
      </c>
      <c r="C129">
        <v>354.159943</v>
      </c>
      <c r="D129">
        <v>10.394897</v>
      </c>
    </row>
    <row r="130" spans="1:4" x14ac:dyDescent="0.35">
      <c r="A130">
        <f t="shared" si="3"/>
        <v>1.5480000000000012</v>
      </c>
      <c r="B130">
        <v>0.95408000000000004</v>
      </c>
      <c r="C130">
        <v>364.61596700000001</v>
      </c>
      <c r="D130">
        <v>10.456023999999999</v>
      </c>
    </row>
    <row r="131" spans="1:4" x14ac:dyDescent="0.35">
      <c r="A131">
        <f t="shared" si="3"/>
        <v>1.5600000000000012</v>
      </c>
      <c r="B131">
        <v>0.16847999999999999</v>
      </c>
      <c r="C131">
        <v>64.387153999999995</v>
      </c>
    </row>
    <row r="132" spans="1:4" x14ac:dyDescent="0.35">
      <c r="A132">
        <f t="shared" ref="A132:A184" si="4">A131+12*10^-3</f>
        <v>1.5720000000000012</v>
      </c>
      <c r="B132">
        <v>6.8400000000000002E-2</v>
      </c>
      <c r="C132">
        <v>26.140087000000001</v>
      </c>
    </row>
    <row r="133" spans="1:4" x14ac:dyDescent="0.35">
      <c r="A133">
        <f t="shared" si="4"/>
        <v>1.5840000000000012</v>
      </c>
      <c r="B133">
        <v>9.6079999999999999E-2</v>
      </c>
      <c r="C133">
        <v>36.718409999999999</v>
      </c>
      <c r="D133">
        <v>10.578322999999999</v>
      </c>
    </row>
    <row r="134" spans="1:4" x14ac:dyDescent="0.35">
      <c r="A134">
        <f t="shared" si="4"/>
        <v>1.5960000000000012</v>
      </c>
      <c r="B134">
        <v>0.1236</v>
      </c>
      <c r="C134">
        <v>47.235591999999997</v>
      </c>
      <c r="D134">
        <v>10.517181000000001</v>
      </c>
    </row>
    <row r="135" spans="1:4" x14ac:dyDescent="0.35">
      <c r="A135">
        <f t="shared" si="4"/>
        <v>1.6080000000000012</v>
      </c>
      <c r="B135">
        <v>0.15064</v>
      </c>
      <c r="C135">
        <v>57.569336</v>
      </c>
      <c r="D135">
        <v>10.333743999999999</v>
      </c>
    </row>
    <row r="136" spans="1:4" x14ac:dyDescent="0.35">
      <c r="A136">
        <f t="shared" si="4"/>
        <v>1.6200000000000012</v>
      </c>
      <c r="B136">
        <v>0.17784</v>
      </c>
      <c r="C136">
        <v>67.964218000000002</v>
      </c>
      <c r="D136">
        <v>10.394882000000001</v>
      </c>
    </row>
    <row r="137" spans="1:4" x14ac:dyDescent="0.35">
      <c r="A137">
        <f t="shared" si="4"/>
        <v>1.6320000000000012</v>
      </c>
      <c r="B137">
        <v>0.20535999999999999</v>
      </c>
      <c r="C137">
        <v>78.481399999999994</v>
      </c>
      <c r="D137">
        <v>10.517181000000001</v>
      </c>
    </row>
    <row r="138" spans="1:4" x14ac:dyDescent="0.35">
      <c r="A138">
        <f t="shared" si="4"/>
        <v>1.6440000000000012</v>
      </c>
      <c r="B138">
        <v>0.23280000000000001</v>
      </c>
      <c r="C138">
        <v>88.968018000000001</v>
      </c>
      <c r="D138">
        <v>10.486618</v>
      </c>
    </row>
    <row r="139" spans="1:4" x14ac:dyDescent="0.35">
      <c r="A139">
        <f t="shared" si="4"/>
        <v>1.6560000000000012</v>
      </c>
      <c r="B139">
        <v>0.26024000000000003</v>
      </c>
      <c r="C139">
        <v>99.454612999999995</v>
      </c>
      <c r="D139">
        <v>10.486594999999999</v>
      </c>
    </row>
    <row r="140" spans="1:4" x14ac:dyDescent="0.35">
      <c r="A140">
        <f t="shared" si="4"/>
        <v>1.6680000000000013</v>
      </c>
      <c r="B140">
        <v>0.28736</v>
      </c>
      <c r="C140">
        <v>109.818939</v>
      </c>
      <c r="D140">
        <v>10.364326</v>
      </c>
    </row>
    <row r="141" spans="1:4" x14ac:dyDescent="0.35">
      <c r="A141">
        <f t="shared" si="4"/>
        <v>1.6800000000000013</v>
      </c>
      <c r="B141">
        <v>0.31447999999999998</v>
      </c>
      <c r="C141">
        <v>120.18325</v>
      </c>
      <c r="D141">
        <v>10.364311000000001</v>
      </c>
    </row>
    <row r="142" spans="1:4" x14ac:dyDescent="0.35">
      <c r="A142">
        <f t="shared" si="4"/>
        <v>1.6920000000000013</v>
      </c>
      <c r="B142">
        <v>0.34160000000000001</v>
      </c>
      <c r="C142">
        <v>130.547562</v>
      </c>
      <c r="D142">
        <v>10.364311000000001</v>
      </c>
    </row>
    <row r="143" spans="1:4" x14ac:dyDescent="0.35">
      <c r="A143">
        <f t="shared" si="4"/>
        <v>1.7040000000000013</v>
      </c>
      <c r="B143">
        <v>0.36880000000000002</v>
      </c>
      <c r="C143">
        <v>140.94245900000001</v>
      </c>
      <c r="D143">
        <v>10.394897</v>
      </c>
    </row>
    <row r="144" spans="1:4" x14ac:dyDescent="0.35">
      <c r="A144">
        <f t="shared" si="4"/>
        <v>1.7160000000000013</v>
      </c>
      <c r="B144">
        <v>0.39584000000000003</v>
      </c>
      <c r="C144">
        <v>151.276184</v>
      </c>
      <c r="D144">
        <v>10.333724999999999</v>
      </c>
    </row>
    <row r="145" spans="1:4" x14ac:dyDescent="0.35">
      <c r="A145">
        <f t="shared" si="4"/>
        <v>1.7280000000000013</v>
      </c>
      <c r="B145">
        <v>0.42255999999999999</v>
      </c>
      <c r="C145">
        <v>161.48764</v>
      </c>
      <c r="D145">
        <v>10.211456</v>
      </c>
    </row>
    <row r="146" spans="1:4" x14ac:dyDescent="0.35">
      <c r="A146">
        <f t="shared" si="4"/>
        <v>1.7400000000000013</v>
      </c>
      <c r="B146">
        <v>0.45016</v>
      </c>
      <c r="C146">
        <v>172.03540000000001</v>
      </c>
      <c r="D146">
        <v>10.54776</v>
      </c>
    </row>
    <row r="147" spans="1:4" x14ac:dyDescent="0.35">
      <c r="A147">
        <f t="shared" si="4"/>
        <v>1.7520000000000013</v>
      </c>
      <c r="B147">
        <v>0.47743999999999998</v>
      </c>
      <c r="C147">
        <v>182.46086099999999</v>
      </c>
      <c r="D147">
        <v>10.425461</v>
      </c>
    </row>
    <row r="148" spans="1:4" x14ac:dyDescent="0.35">
      <c r="A148">
        <f t="shared" si="4"/>
        <v>1.7640000000000013</v>
      </c>
      <c r="B148">
        <v>0.50463999999999998</v>
      </c>
      <c r="C148">
        <v>192.85574299999999</v>
      </c>
      <c r="D148">
        <v>10.394882000000001</v>
      </c>
    </row>
    <row r="149" spans="1:4" x14ac:dyDescent="0.35">
      <c r="A149">
        <f t="shared" si="4"/>
        <v>1.7760000000000014</v>
      </c>
      <c r="B149">
        <v>0.53136000000000005</v>
      </c>
      <c r="C149">
        <v>203.067184</v>
      </c>
      <c r="D149">
        <v>10.211441000000001</v>
      </c>
    </row>
    <row r="150" spans="1:4" x14ac:dyDescent="0.35">
      <c r="A150">
        <f t="shared" si="4"/>
        <v>1.7880000000000014</v>
      </c>
      <c r="B150">
        <v>0.55808000000000002</v>
      </c>
      <c r="C150">
        <v>213.27865600000001</v>
      </c>
      <c r="D150">
        <v>10.211472000000001</v>
      </c>
    </row>
    <row r="151" spans="1:4" x14ac:dyDescent="0.35">
      <c r="A151">
        <f t="shared" si="4"/>
        <v>1.8000000000000014</v>
      </c>
      <c r="B151">
        <v>0.58496000000000004</v>
      </c>
      <c r="C151">
        <v>223.55123900000001</v>
      </c>
      <c r="D151">
        <v>10.272582999999999</v>
      </c>
    </row>
    <row r="152" spans="1:4" x14ac:dyDescent="0.35">
      <c r="A152">
        <f t="shared" si="4"/>
        <v>1.8120000000000014</v>
      </c>
      <c r="B152">
        <v>0.61240000000000006</v>
      </c>
      <c r="C152">
        <v>234.03784200000001</v>
      </c>
      <c r="D152">
        <v>10.486603000000001</v>
      </c>
    </row>
    <row r="153" spans="1:4" x14ac:dyDescent="0.35">
      <c r="A153">
        <f t="shared" si="4"/>
        <v>1.8240000000000014</v>
      </c>
      <c r="B153">
        <v>0.63951999999999998</v>
      </c>
      <c r="C153">
        <v>244.40216100000001</v>
      </c>
      <c r="D153">
        <v>10.364319</v>
      </c>
    </row>
    <row r="154" spans="1:4" x14ac:dyDescent="0.35">
      <c r="A154">
        <f t="shared" si="4"/>
        <v>1.8360000000000014</v>
      </c>
      <c r="B154">
        <v>0.66703999999999997</v>
      </c>
      <c r="C154">
        <v>254.919342</v>
      </c>
      <c r="D154">
        <v>10.517181000000001</v>
      </c>
    </row>
    <row r="155" spans="1:4" x14ac:dyDescent="0.35">
      <c r="A155">
        <f t="shared" si="4"/>
        <v>1.8480000000000014</v>
      </c>
      <c r="B155">
        <v>0.69688000000000005</v>
      </c>
      <c r="C155">
        <v>266.323151</v>
      </c>
      <c r="D155">
        <v>11.403809000000001</v>
      </c>
    </row>
    <row r="156" spans="1:4" x14ac:dyDescent="0.35">
      <c r="A156">
        <f t="shared" si="4"/>
        <v>1.8600000000000014</v>
      </c>
      <c r="B156">
        <v>0.72407999999999995</v>
      </c>
      <c r="C156">
        <v>276.71804800000001</v>
      </c>
      <c r="D156">
        <v>10.394897</v>
      </c>
    </row>
    <row r="157" spans="1:4" x14ac:dyDescent="0.35">
      <c r="A157">
        <f t="shared" si="4"/>
        <v>1.8720000000000014</v>
      </c>
      <c r="B157">
        <v>0.75119999999999998</v>
      </c>
      <c r="C157">
        <v>287.08236699999998</v>
      </c>
      <c r="D157">
        <v>10.364319</v>
      </c>
    </row>
    <row r="158" spans="1:4" x14ac:dyDescent="0.35">
      <c r="A158">
        <f t="shared" si="4"/>
        <v>1.8840000000000015</v>
      </c>
      <c r="B158">
        <v>0.77856000000000003</v>
      </c>
      <c r="C158">
        <v>297.53836100000001</v>
      </c>
      <c r="D158">
        <v>10.455994</v>
      </c>
    </row>
    <row r="159" spans="1:4" x14ac:dyDescent="0.35">
      <c r="A159">
        <f t="shared" si="4"/>
        <v>1.8960000000000015</v>
      </c>
      <c r="B159">
        <v>0.80576000000000003</v>
      </c>
      <c r="C159">
        <v>307.933289</v>
      </c>
      <c r="D159">
        <v>10.394928</v>
      </c>
    </row>
    <row r="160" spans="1:4" x14ac:dyDescent="0.35">
      <c r="A160">
        <f t="shared" si="4"/>
        <v>1.9080000000000015</v>
      </c>
      <c r="B160">
        <v>0.83223999999999998</v>
      </c>
      <c r="C160">
        <v>318.05300899999997</v>
      </c>
      <c r="D160">
        <v>10.119719999999999</v>
      </c>
    </row>
    <row r="161" spans="1:4" x14ac:dyDescent="0.35">
      <c r="A161">
        <f t="shared" si="4"/>
        <v>1.9200000000000015</v>
      </c>
      <c r="B161">
        <v>0.85928000000000004</v>
      </c>
      <c r="C161">
        <v>328.38674900000001</v>
      </c>
      <c r="D161">
        <v>10.333740000000001</v>
      </c>
    </row>
    <row r="162" spans="1:4" x14ac:dyDescent="0.35">
      <c r="A162">
        <f t="shared" si="4"/>
        <v>1.9320000000000015</v>
      </c>
      <c r="B162">
        <v>0.88615999999999995</v>
      </c>
      <c r="C162">
        <v>338.65933200000001</v>
      </c>
      <c r="D162">
        <v>10.272582999999999</v>
      </c>
    </row>
    <row r="163" spans="1:4" x14ac:dyDescent="0.35">
      <c r="A163">
        <f t="shared" si="4"/>
        <v>1.9440000000000015</v>
      </c>
      <c r="B163">
        <v>0.91303999999999996</v>
      </c>
      <c r="C163">
        <v>348.931915</v>
      </c>
      <c r="D163">
        <v>10.272582999999999</v>
      </c>
    </row>
    <row r="164" spans="1:4" x14ac:dyDescent="0.35">
      <c r="A164">
        <f t="shared" si="4"/>
        <v>1.9560000000000015</v>
      </c>
      <c r="B164">
        <v>0.94</v>
      </c>
      <c r="C164">
        <v>359.23510700000003</v>
      </c>
      <c r="D164">
        <v>10.303191999999999</v>
      </c>
    </row>
    <row r="165" spans="1:4" x14ac:dyDescent="0.35">
      <c r="A165">
        <f t="shared" si="4"/>
        <v>1.9680000000000015</v>
      </c>
      <c r="B165">
        <v>0.79432000000000003</v>
      </c>
      <c r="C165">
        <v>303.56130999999999</v>
      </c>
    </row>
    <row r="166" spans="1:4" x14ac:dyDescent="0.35">
      <c r="A166">
        <f t="shared" si="4"/>
        <v>1.9800000000000015</v>
      </c>
      <c r="B166">
        <v>5.3760000000000002E-2</v>
      </c>
      <c r="C166">
        <v>20.545190999999999</v>
      </c>
    </row>
    <row r="167" spans="1:4" x14ac:dyDescent="0.35">
      <c r="A167">
        <f t="shared" si="4"/>
        <v>1.9920000000000015</v>
      </c>
      <c r="B167">
        <v>8.0960000000000004E-2</v>
      </c>
      <c r="C167">
        <v>30.940076999999999</v>
      </c>
      <c r="D167">
        <v>10.394886</v>
      </c>
    </row>
    <row r="168" spans="1:4" x14ac:dyDescent="0.35">
      <c r="A168">
        <f t="shared" si="4"/>
        <v>2.0040000000000013</v>
      </c>
      <c r="B168">
        <v>0.10888</v>
      </c>
      <c r="C168">
        <v>41.610123000000002</v>
      </c>
      <c r="D168">
        <v>10.670045999999999</v>
      </c>
    </row>
    <row r="169" spans="1:4" x14ac:dyDescent="0.35">
      <c r="A169">
        <f t="shared" si="4"/>
        <v>2.0160000000000013</v>
      </c>
      <c r="B169">
        <v>0.13624</v>
      </c>
      <c r="C169">
        <v>52.066161999999998</v>
      </c>
      <c r="D169">
        <v>10.456039000000001</v>
      </c>
    </row>
    <row r="170" spans="1:4" x14ac:dyDescent="0.35">
      <c r="A170">
        <f t="shared" si="4"/>
        <v>2.0280000000000014</v>
      </c>
      <c r="B170">
        <v>0.16328000000000001</v>
      </c>
      <c r="C170">
        <v>62.399898999999998</v>
      </c>
      <c r="D170">
        <v>10.333736</v>
      </c>
    </row>
    <row r="171" spans="1:4" x14ac:dyDescent="0.35">
      <c r="A171">
        <f t="shared" si="4"/>
        <v>2.0400000000000014</v>
      </c>
      <c r="B171">
        <v>0.19064</v>
      </c>
      <c r="C171">
        <v>72.855934000000005</v>
      </c>
      <c r="D171">
        <v>10.456035999999999</v>
      </c>
    </row>
    <row r="172" spans="1:4" x14ac:dyDescent="0.35">
      <c r="A172">
        <f t="shared" si="4"/>
        <v>2.0520000000000014</v>
      </c>
      <c r="B172">
        <v>0.21848000000000001</v>
      </c>
      <c r="C172">
        <v>83.495414999999994</v>
      </c>
      <c r="D172">
        <v>10.639481</v>
      </c>
    </row>
    <row r="173" spans="1:4" x14ac:dyDescent="0.35">
      <c r="A173">
        <f t="shared" si="4"/>
        <v>2.0640000000000014</v>
      </c>
      <c r="B173">
        <v>0.24584</v>
      </c>
      <c r="C173">
        <v>93.951447000000002</v>
      </c>
      <c r="D173">
        <v>10.456032</v>
      </c>
    </row>
    <row r="174" spans="1:4" x14ac:dyDescent="0.35">
      <c r="A174">
        <f t="shared" si="4"/>
        <v>2.0760000000000014</v>
      </c>
      <c r="B174">
        <v>0.27279999999999999</v>
      </c>
      <c r="C174">
        <v>104.254608</v>
      </c>
      <c r="D174">
        <v>10.303162</v>
      </c>
    </row>
    <row r="175" spans="1:4" x14ac:dyDescent="0.35">
      <c r="A175">
        <f t="shared" si="4"/>
        <v>2.0880000000000014</v>
      </c>
      <c r="B175">
        <v>0.30031999999999998</v>
      </c>
      <c r="C175">
        <v>114.77179</v>
      </c>
      <c r="D175">
        <v>10.517181000000001</v>
      </c>
    </row>
    <row r="176" spans="1:4" x14ac:dyDescent="0.35">
      <c r="A176">
        <f t="shared" si="4"/>
        <v>2.1000000000000014</v>
      </c>
      <c r="B176">
        <v>0.32712000000000002</v>
      </c>
      <c r="C176">
        <v>125.013817</v>
      </c>
      <c r="D176">
        <v>10.242027</v>
      </c>
    </row>
    <row r="177" spans="1:4" x14ac:dyDescent="0.35">
      <c r="A177">
        <f t="shared" si="4"/>
        <v>2.1120000000000014</v>
      </c>
      <c r="B177">
        <v>0.35432000000000002</v>
      </c>
      <c r="C177">
        <v>135.408691</v>
      </c>
      <c r="D177">
        <v>10.394875000000001</v>
      </c>
    </row>
    <row r="178" spans="1:4" x14ac:dyDescent="0.35">
      <c r="A178">
        <f t="shared" si="4"/>
        <v>2.1240000000000014</v>
      </c>
      <c r="B178">
        <v>0.38144</v>
      </c>
      <c r="C178">
        <v>145.77302599999999</v>
      </c>
      <c r="D178">
        <v>10.364333999999999</v>
      </c>
    </row>
    <row r="179" spans="1:4" x14ac:dyDescent="0.35">
      <c r="A179">
        <f t="shared" si="4"/>
        <v>2.1360000000000015</v>
      </c>
      <c r="B179">
        <v>0.40848000000000001</v>
      </c>
      <c r="C179">
        <v>156.10675000000001</v>
      </c>
      <c r="D179">
        <v>10.333724999999999</v>
      </c>
    </row>
    <row r="180" spans="1:4" x14ac:dyDescent="0.35">
      <c r="A180">
        <f t="shared" si="4"/>
        <v>2.1480000000000015</v>
      </c>
      <c r="B180">
        <v>0.43536000000000002</v>
      </c>
      <c r="C180">
        <v>166.37936400000001</v>
      </c>
      <c r="D180">
        <v>10.272614000000001</v>
      </c>
    </row>
    <row r="181" spans="1:4" x14ac:dyDescent="0.35">
      <c r="A181">
        <f t="shared" si="4"/>
        <v>2.1600000000000015</v>
      </c>
      <c r="B181">
        <v>0.46295999999999998</v>
      </c>
      <c r="C181">
        <v>176.927109</v>
      </c>
      <c r="D181">
        <v>10.547745000000001</v>
      </c>
    </row>
    <row r="182" spans="1:4" x14ac:dyDescent="0.35">
      <c r="A182">
        <f t="shared" si="4"/>
        <v>2.1720000000000015</v>
      </c>
      <c r="B182">
        <v>0.49024000000000001</v>
      </c>
      <c r="C182">
        <v>187.35256999999999</v>
      </c>
      <c r="D182">
        <v>10.425461</v>
      </c>
    </row>
    <row r="183" spans="1:4" x14ac:dyDescent="0.35">
      <c r="A183">
        <f t="shared" si="4"/>
        <v>2.1840000000000015</v>
      </c>
      <c r="B183">
        <v>0.51759999999999995</v>
      </c>
      <c r="C183">
        <v>197.80860899999999</v>
      </c>
      <c r="D183">
        <v>10.456039000000001</v>
      </c>
    </row>
    <row r="184" spans="1:4" x14ac:dyDescent="0.35">
      <c r="A184">
        <f t="shared" si="4"/>
        <v>2.1960000000000015</v>
      </c>
      <c r="B184">
        <v>0.54471999999999998</v>
      </c>
      <c r="C184">
        <v>208.17291299999999</v>
      </c>
      <c r="D184">
        <v>10.364304000000001</v>
      </c>
    </row>
    <row r="185" spans="1:4" x14ac:dyDescent="0.35">
      <c r="B185">
        <v>0.57447999999999999</v>
      </c>
      <c r="C185">
        <v>219.546143</v>
      </c>
      <c r="D185">
        <v>11.37323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meas0calc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Ditte Filskov Theilgaard</cp:lastModifiedBy>
  <dcterms:created xsi:type="dcterms:W3CDTF">2025-11-07T10:56:52Z</dcterms:created>
  <dcterms:modified xsi:type="dcterms:W3CDTF">2025-11-10T09:46:03Z</dcterms:modified>
</cp:coreProperties>
</file>