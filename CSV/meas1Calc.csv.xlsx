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tte\aauRepo\esd7_git\3Dprinter-BLDC-control\CSV\"/>
    </mc:Choice>
  </mc:AlternateContent>
  <xr:revisionPtr revIDLastSave="0" documentId="13_ncr:1_{0AFCE67E-5594-4C01-9133-2B23372E890A}" xr6:coauthVersionLast="47" xr6:coauthVersionMax="47" xr10:uidLastSave="{00000000-0000-0000-0000-000000000000}"/>
  <bookViews>
    <workbookView xWindow="-110" yWindow="-110" windowWidth="25820" windowHeight="15500" xr2:uid="{EA8A3D95-2865-406D-9F79-29F1BC7EF3D6}"/>
  </bookViews>
  <sheets>
    <sheet name="meas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1" i="1"/>
  <c r="G1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4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3" i="1"/>
  <c r="U26" i="1" l="1"/>
  <c r="U34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3" i="1"/>
  <c r="A2" i="1"/>
  <c r="G10" i="1" l="1"/>
  <c r="G9" i="1" s="1"/>
  <c r="G8" i="1" s="1"/>
  <c r="G7" i="1" s="1"/>
  <c r="G6" i="1" s="1"/>
  <c r="G5" i="1" s="1"/>
</calcChain>
</file>

<file path=xl/sharedStrings.xml><?xml version="1.0" encoding="utf-8"?>
<sst xmlns="http://schemas.openxmlformats.org/spreadsheetml/2006/main" count="13" uniqueCount="13">
  <si>
    <t>RAW</t>
  </si>
  <si>
    <t>DEGREE</t>
  </si>
  <si>
    <t>ANGULAR_MOMENTUM</t>
  </si>
  <si>
    <t>Time</t>
  </si>
  <si>
    <t>T</t>
  </si>
  <si>
    <t>K_e</t>
  </si>
  <si>
    <t>K_t</t>
  </si>
  <si>
    <t>B</t>
  </si>
  <si>
    <t>R</t>
  </si>
  <si>
    <t>J</t>
  </si>
  <si>
    <t>time</t>
  </si>
  <si>
    <t>angluar speed</t>
  </si>
  <si>
    <t>rad_diff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</si>
</sst>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meas1!$G$5:$G$38</c:f>
              <c:numCache>
                <c:formatCode>General</c:formatCode>
                <c:ptCount val="34"/>
                <c:pt idx="0">
                  <c:v>-8.3999999999999991E-2</c:v>
                </c:pt>
                <c:pt idx="1">
                  <c:v>-7.1999999999999995E-2</c:v>
                </c:pt>
                <c:pt idx="2">
                  <c:v>-0.06</c:v>
                </c:pt>
                <c:pt idx="3">
                  <c:v>-4.8000000000000001E-2</c:v>
                </c:pt>
                <c:pt idx="4">
                  <c:v>-3.6000000000000004E-2</c:v>
                </c:pt>
                <c:pt idx="5">
                  <c:v>-2.4E-2</c:v>
                </c:pt>
                <c:pt idx="6">
                  <c:v>-1.2E-2</c:v>
                </c:pt>
                <c:pt idx="7">
                  <c:v>0</c:v>
                </c:pt>
                <c:pt idx="8">
                  <c:v>1.2E-2</c:v>
                </c:pt>
                <c:pt idx="9">
                  <c:v>2.4E-2</c:v>
                </c:pt>
                <c:pt idx="10">
                  <c:v>3.6000000000000004E-2</c:v>
                </c:pt>
                <c:pt idx="11">
                  <c:v>4.8000000000000001E-2</c:v>
                </c:pt>
                <c:pt idx="12">
                  <c:v>0.06</c:v>
                </c:pt>
                <c:pt idx="13">
                  <c:v>7.1999999999999995E-2</c:v>
                </c:pt>
                <c:pt idx="14">
                  <c:v>8.3999999999999991E-2</c:v>
                </c:pt>
                <c:pt idx="15">
                  <c:v>9.5999999999999988E-2</c:v>
                </c:pt>
                <c:pt idx="16">
                  <c:v>0.10799999999999998</c:v>
                </c:pt>
                <c:pt idx="17">
                  <c:v>0.11999999999999998</c:v>
                </c:pt>
                <c:pt idx="18">
                  <c:v>0.13199999999999998</c:v>
                </c:pt>
                <c:pt idx="19">
                  <c:v>0.14399999999999999</c:v>
                </c:pt>
                <c:pt idx="20">
                  <c:v>0.156</c:v>
                </c:pt>
                <c:pt idx="21">
                  <c:v>0.16800000000000001</c:v>
                </c:pt>
                <c:pt idx="22">
                  <c:v>0.18000000000000002</c:v>
                </c:pt>
                <c:pt idx="23">
                  <c:v>0.19200000000000003</c:v>
                </c:pt>
                <c:pt idx="24">
                  <c:v>0.20400000000000004</c:v>
                </c:pt>
                <c:pt idx="25">
                  <c:v>0.21600000000000005</c:v>
                </c:pt>
                <c:pt idx="26">
                  <c:v>0.22800000000000006</c:v>
                </c:pt>
                <c:pt idx="27">
                  <c:v>0.24000000000000007</c:v>
                </c:pt>
                <c:pt idx="28">
                  <c:v>0.25200000000000006</c:v>
                </c:pt>
                <c:pt idx="29">
                  <c:v>0.26400000000000007</c:v>
                </c:pt>
                <c:pt idx="30">
                  <c:v>0.27600000000000008</c:v>
                </c:pt>
                <c:pt idx="31">
                  <c:v>0.28800000000000009</c:v>
                </c:pt>
                <c:pt idx="32">
                  <c:v>0.3000000000000001</c:v>
                </c:pt>
                <c:pt idx="33">
                  <c:v>0.31200000000000011</c:v>
                </c:pt>
              </c:numCache>
            </c:numRef>
          </c:xVal>
          <c:yVal>
            <c:numRef>
              <c:f>meas1!$H$4:$H$38</c:f>
              <c:numCache>
                <c:formatCode>0.00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-4.4338099999987446E-2</c:v>
                </c:pt>
                <c:pt idx="4">
                  <c:v>0</c:v>
                </c:pt>
                <c:pt idx="5">
                  <c:v>4.4338099999987446E-2</c:v>
                </c:pt>
                <c:pt idx="6">
                  <c:v>-4.4338099999987446E-2</c:v>
                </c:pt>
                <c:pt idx="7">
                  <c:v>4.4338099999987446E-2</c:v>
                </c:pt>
                <c:pt idx="8">
                  <c:v>-4.4338099999987446E-2</c:v>
                </c:pt>
                <c:pt idx="9">
                  <c:v>1.0639578000000103</c:v>
                </c:pt>
                <c:pt idx="10">
                  <c:v>3.2361708999999976</c:v>
                </c:pt>
                <c:pt idx="11">
                  <c:v>6.206352349999972</c:v>
                </c:pt>
                <c:pt idx="12">
                  <c:v>7.4032838500000047</c:v>
                </c:pt>
                <c:pt idx="13">
                  <c:v>7.9352859499999928</c:v>
                </c:pt>
                <c:pt idx="14">
                  <c:v>9.9301625999999903</c:v>
                </c:pt>
                <c:pt idx="15">
                  <c:v>10.63947649999999</c:v>
                </c:pt>
                <c:pt idx="16">
                  <c:v>10.462166149999975</c:v>
                </c:pt>
                <c:pt idx="17">
                  <c:v>11.260089549999993</c:v>
                </c:pt>
                <c:pt idx="18">
                  <c:v>11.969425200000046</c:v>
                </c:pt>
                <c:pt idx="19">
                  <c:v>12.723032249999953</c:v>
                </c:pt>
                <c:pt idx="20">
                  <c:v>13.033362699999998</c:v>
                </c:pt>
                <c:pt idx="21">
                  <c:v>13.16635670000001</c:v>
                </c:pt>
                <c:pt idx="22">
                  <c:v>14.407604549999963</c:v>
                </c:pt>
                <c:pt idx="23">
                  <c:v>13.786969749999974</c:v>
                </c:pt>
                <c:pt idx="24">
                  <c:v>13.786991500000003</c:v>
                </c:pt>
                <c:pt idx="25">
                  <c:v>13.875648850000022</c:v>
                </c:pt>
                <c:pt idx="26">
                  <c:v>13.609634749999939</c:v>
                </c:pt>
                <c:pt idx="27">
                  <c:v>14.008642849999998</c:v>
                </c:pt>
                <c:pt idx="28">
                  <c:v>13.87567060000001</c:v>
                </c:pt>
                <c:pt idx="29">
                  <c:v>13.609636199999937</c:v>
                </c:pt>
                <c:pt idx="30">
                  <c:v>13.786991500000044</c:v>
                </c:pt>
                <c:pt idx="31">
                  <c:v>13.654019249999974</c:v>
                </c:pt>
                <c:pt idx="32">
                  <c:v>13.521002049999936</c:v>
                </c:pt>
                <c:pt idx="33">
                  <c:v>13.875669150000014</c:v>
                </c:pt>
                <c:pt idx="34">
                  <c:v>13.831287549999971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AF-4608-8044-0EDB7B9FE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72848"/>
        <c:axId val="89698288"/>
      </c:scatterChart>
      <c:valAx>
        <c:axId val="8967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89698288"/>
        <c:crosses val="autoZero"/>
        <c:crossBetween val="midCat"/>
      </c:valAx>
      <c:valAx>
        <c:axId val="8969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8967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346075</xdr:colOff>
      <xdr:row>3</xdr:row>
      <xdr:rowOff>76200</xdr:rowOff>
    </xdr:from>
    <xdr:to>
      <xdr:col>16</xdr:col>
      <xdr:colOff>41275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27ABEB-7C09-D173-154A-DB55ABBA6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025BA-A4EC-4278-B5AA-D8585E495C18}">
  <dimension ref="A1:U253"/>
  <sheetViews>
    <sheetView tabSelected="1" workbookViewId="0">
      <selection activeCell="T21" sqref="T21"/>
    </sheetView>
  </sheetViews>
  <sheetFormatPr defaultRowHeight="14.5" x14ac:dyDescent="0.35"/>
  <cols>
    <col min="4" max="4" width="8.7265625" style="1"/>
  </cols>
  <sheetData>
    <row r="1" spans="1:8" x14ac:dyDescent="0.35">
      <c r="A1" t="s">
        <v>3</v>
      </c>
      <c r="B1" t="s">
        <v>0</v>
      </c>
      <c r="C1" t="s">
        <v>1</v>
      </c>
      <c r="D1" s="1" t="s">
        <v>2</v>
      </c>
    </row>
    <row r="2" spans="1:8" x14ac:dyDescent="0.35">
      <c r="A2">
        <f>0+12*10^-3</f>
        <v>1.2E-2</v>
      </c>
      <c r="B2">
        <v>0.36359999999999998</v>
      </c>
      <c r="C2">
        <v>138.955185</v>
      </c>
      <c r="D2" s="1" t="s">
        <v>12</v>
      </c>
    </row>
    <row r="3" spans="1:8" x14ac:dyDescent="0.35">
      <c r="A3">
        <f>A2+12*10^-3</f>
        <v>2.4E-2</v>
      </c>
      <c r="B3">
        <v>0.35768</v>
      </c>
      <c r="C3">
        <v>136.69278</v>
      </c>
      <c r="D3" s="1">
        <f>(C4-C3)*0.0174</f>
        <v>0</v>
      </c>
      <c r="G3" t="s">
        <v>10</v>
      </c>
      <c r="H3" t="s">
        <v>11</v>
      </c>
    </row>
    <row r="4" spans="1:8" x14ac:dyDescent="0.35">
      <c r="A4">
        <f t="shared" ref="A4:A67" si="0">A3+12*10^-3</f>
        <v>3.6000000000000004E-2</v>
      </c>
      <c r="B4">
        <v>0.35768</v>
      </c>
      <c r="C4">
        <v>136.69278</v>
      </c>
      <c r="D4" s="1">
        <f t="shared" ref="D4:D67" si="1">(C5-C4)*0.0174</f>
        <v>5.3205719999984921E-4</v>
      </c>
      <c r="H4" s="1">
        <f>D83/(A4-A3)</f>
        <v>0</v>
      </c>
    </row>
    <row r="5" spans="1:8" x14ac:dyDescent="0.35">
      <c r="A5">
        <f t="shared" si="0"/>
        <v>4.8000000000000001E-2</v>
      </c>
      <c r="B5">
        <v>0.35776000000000002</v>
      </c>
      <c r="C5">
        <v>136.72335799999999</v>
      </c>
      <c r="D5" s="1">
        <f t="shared" si="1"/>
        <v>0</v>
      </c>
      <c r="G5">
        <f t="shared" ref="G5:G9" si="2">G6+(-12*10^-3)</f>
        <v>-8.3999999999999991E-2</v>
      </c>
      <c r="H5" s="1">
        <f t="shared" ref="H5:H68" si="3">D84/(A5-A4)</f>
        <v>0</v>
      </c>
    </row>
    <row r="6" spans="1:8" x14ac:dyDescent="0.35">
      <c r="A6">
        <f t="shared" si="0"/>
        <v>0.06</v>
      </c>
      <c r="B6">
        <v>0.35776000000000002</v>
      </c>
      <c r="C6">
        <v>136.72335799999999</v>
      </c>
      <c r="D6" s="1">
        <f t="shared" si="1"/>
        <v>0</v>
      </c>
      <c r="G6">
        <f t="shared" si="2"/>
        <v>-7.1999999999999995E-2</v>
      </c>
      <c r="H6" s="1">
        <f t="shared" si="3"/>
        <v>0</v>
      </c>
    </row>
    <row r="7" spans="1:8" x14ac:dyDescent="0.35">
      <c r="A7">
        <f t="shared" si="0"/>
        <v>7.1999999999999995E-2</v>
      </c>
      <c r="B7">
        <v>0.35776000000000002</v>
      </c>
      <c r="C7">
        <v>136.72335799999999</v>
      </c>
      <c r="D7" s="1">
        <f t="shared" si="1"/>
        <v>-5.3205719999984921E-4</v>
      </c>
      <c r="G7">
        <f t="shared" si="2"/>
        <v>-0.06</v>
      </c>
      <c r="H7" s="1">
        <f t="shared" si="3"/>
        <v>-4.4338099999987446E-2</v>
      </c>
    </row>
    <row r="8" spans="1:8" x14ac:dyDescent="0.35">
      <c r="A8">
        <f t="shared" si="0"/>
        <v>8.3999999999999991E-2</v>
      </c>
      <c r="B8">
        <v>0.35768</v>
      </c>
      <c r="C8">
        <v>136.69278</v>
      </c>
      <c r="D8" s="1">
        <f t="shared" si="1"/>
        <v>1.063870799999819E-3</v>
      </c>
      <c r="G8">
        <f t="shared" si="2"/>
        <v>-4.8000000000000001E-2</v>
      </c>
      <c r="H8" s="1">
        <f t="shared" si="3"/>
        <v>0</v>
      </c>
    </row>
    <row r="9" spans="1:8" x14ac:dyDescent="0.35">
      <c r="A9">
        <f t="shared" si="0"/>
        <v>9.5999999999999988E-2</v>
      </c>
      <c r="B9">
        <v>0.35783999999999999</v>
      </c>
      <c r="C9">
        <v>136.75392199999999</v>
      </c>
      <c r="D9" s="1">
        <f t="shared" si="1"/>
        <v>-5.3181359999996964E-4</v>
      </c>
      <c r="G9">
        <f t="shared" si="2"/>
        <v>-3.6000000000000004E-2</v>
      </c>
      <c r="H9" s="1">
        <f t="shared" si="3"/>
        <v>4.4338099999987446E-2</v>
      </c>
    </row>
    <row r="10" spans="1:8" x14ac:dyDescent="0.35">
      <c r="A10">
        <f t="shared" si="0"/>
        <v>0.10799999999999998</v>
      </c>
      <c r="B10">
        <v>0.35776000000000002</v>
      </c>
      <c r="C10">
        <v>136.72335799999999</v>
      </c>
      <c r="D10" s="1">
        <f t="shared" si="1"/>
        <v>0</v>
      </c>
      <c r="G10">
        <f>G11+(-12*10^-3)</f>
        <v>-2.4E-2</v>
      </c>
      <c r="H10" s="1">
        <f t="shared" si="3"/>
        <v>-4.4338099999987446E-2</v>
      </c>
    </row>
    <row r="11" spans="1:8" x14ac:dyDescent="0.35">
      <c r="A11">
        <f t="shared" si="0"/>
        <v>0.11999999999999998</v>
      </c>
      <c r="B11">
        <v>0.35776000000000002</v>
      </c>
      <c r="C11">
        <v>136.72335799999999</v>
      </c>
      <c r="D11" s="1">
        <f t="shared" si="1"/>
        <v>-5.3205719999984921E-4</v>
      </c>
      <c r="G11">
        <f>-G13</f>
        <v>-1.2E-2</v>
      </c>
      <c r="H11" s="1">
        <f t="shared" si="3"/>
        <v>4.4338099999987446E-2</v>
      </c>
    </row>
    <row r="12" spans="1:8" x14ac:dyDescent="0.35">
      <c r="A12">
        <f t="shared" si="0"/>
        <v>0.13199999999999998</v>
      </c>
      <c r="B12">
        <v>0.35768</v>
      </c>
      <c r="C12">
        <v>136.69278</v>
      </c>
      <c r="D12" s="1">
        <f t="shared" si="1"/>
        <v>0</v>
      </c>
      <c r="G12">
        <v>0</v>
      </c>
      <c r="H12" s="1">
        <f t="shared" si="3"/>
        <v>-4.4338099999987446E-2</v>
      </c>
    </row>
    <row r="13" spans="1:8" x14ac:dyDescent="0.35">
      <c r="A13">
        <f t="shared" si="0"/>
        <v>0.14399999999999999</v>
      </c>
      <c r="B13">
        <v>0.35768</v>
      </c>
      <c r="C13">
        <v>136.69278</v>
      </c>
      <c r="D13" s="1">
        <f t="shared" si="1"/>
        <v>0</v>
      </c>
      <c r="G13">
        <f>A2</f>
        <v>1.2E-2</v>
      </c>
      <c r="H13" s="1">
        <f t="shared" si="3"/>
        <v>1.0639578000000103</v>
      </c>
    </row>
    <row r="14" spans="1:8" x14ac:dyDescent="0.35">
      <c r="A14">
        <f t="shared" si="0"/>
        <v>0.156</v>
      </c>
      <c r="B14">
        <v>0.35768</v>
      </c>
      <c r="C14">
        <v>136.69278</v>
      </c>
      <c r="D14" s="1">
        <f t="shared" si="1"/>
        <v>0</v>
      </c>
      <c r="G14">
        <f t="shared" ref="G14:G77" si="4">A3</f>
        <v>2.4E-2</v>
      </c>
      <c r="H14" s="1">
        <f t="shared" si="3"/>
        <v>3.2361708999999976</v>
      </c>
    </row>
    <row r="15" spans="1:8" x14ac:dyDescent="0.35">
      <c r="A15">
        <f t="shared" si="0"/>
        <v>0.16800000000000001</v>
      </c>
      <c r="B15">
        <v>0.35768</v>
      </c>
      <c r="C15">
        <v>136.69278</v>
      </c>
      <c r="D15" s="1">
        <f t="shared" si="1"/>
        <v>1.063870799999819E-3</v>
      </c>
      <c r="G15">
        <f t="shared" si="4"/>
        <v>3.6000000000000004E-2</v>
      </c>
      <c r="H15" s="1">
        <f t="shared" si="3"/>
        <v>6.206352349999972</v>
      </c>
    </row>
    <row r="16" spans="1:8" x14ac:dyDescent="0.35">
      <c r="A16">
        <f t="shared" si="0"/>
        <v>0.18000000000000002</v>
      </c>
      <c r="B16">
        <v>0.35783999999999999</v>
      </c>
      <c r="C16">
        <v>136.75392199999999</v>
      </c>
      <c r="D16" s="1">
        <f t="shared" si="1"/>
        <v>-1.063870799999819E-3</v>
      </c>
      <c r="G16">
        <f t="shared" si="4"/>
        <v>4.8000000000000001E-2</v>
      </c>
      <c r="H16" s="1">
        <f t="shared" si="3"/>
        <v>7.4032838500000047</v>
      </c>
    </row>
    <row r="17" spans="1:21" x14ac:dyDescent="0.35">
      <c r="A17">
        <f t="shared" si="0"/>
        <v>0.19200000000000003</v>
      </c>
      <c r="B17">
        <v>0.35768</v>
      </c>
      <c r="C17">
        <v>136.69278</v>
      </c>
      <c r="D17" s="1">
        <f t="shared" si="1"/>
        <v>1.063870799999819E-3</v>
      </c>
      <c r="G17">
        <f t="shared" si="4"/>
        <v>0.06</v>
      </c>
      <c r="H17" s="1">
        <f t="shared" si="3"/>
        <v>7.9352859499999928</v>
      </c>
    </row>
    <row r="18" spans="1:21" x14ac:dyDescent="0.35">
      <c r="A18">
        <f t="shared" si="0"/>
        <v>0.20400000000000004</v>
      </c>
      <c r="B18">
        <v>0.35783999999999999</v>
      </c>
      <c r="C18">
        <v>136.75392199999999</v>
      </c>
      <c r="D18" s="1">
        <f t="shared" si="1"/>
        <v>-1.063870799999819E-3</v>
      </c>
      <c r="G18">
        <f t="shared" si="4"/>
        <v>7.1999999999999995E-2</v>
      </c>
      <c r="H18" s="1">
        <f t="shared" si="3"/>
        <v>9.9301625999999903</v>
      </c>
    </row>
    <row r="19" spans="1:21" x14ac:dyDescent="0.35">
      <c r="A19">
        <f t="shared" si="0"/>
        <v>0.21600000000000005</v>
      </c>
      <c r="B19">
        <v>0.35768</v>
      </c>
      <c r="C19">
        <v>136.69278</v>
      </c>
      <c r="D19" s="1">
        <f t="shared" si="1"/>
        <v>-5.3207459999980527E-4</v>
      </c>
      <c r="G19">
        <f t="shared" si="4"/>
        <v>8.3999999999999991E-2</v>
      </c>
      <c r="H19" s="1">
        <f t="shared" si="3"/>
        <v>10.63947649999999</v>
      </c>
    </row>
    <row r="20" spans="1:21" x14ac:dyDescent="0.35">
      <c r="A20">
        <f t="shared" si="0"/>
        <v>0.22800000000000006</v>
      </c>
      <c r="B20">
        <v>0.35759999999999997</v>
      </c>
      <c r="C20">
        <v>136.66220100000001</v>
      </c>
      <c r="D20" s="1">
        <f t="shared" si="1"/>
        <v>0</v>
      </c>
      <c r="G20">
        <f t="shared" si="4"/>
        <v>9.5999999999999988E-2</v>
      </c>
      <c r="H20" s="1">
        <f t="shared" si="3"/>
        <v>10.462166149999975</v>
      </c>
    </row>
    <row r="21" spans="1:21" x14ac:dyDescent="0.35">
      <c r="A21">
        <f t="shared" si="0"/>
        <v>0.24000000000000007</v>
      </c>
      <c r="B21">
        <v>0.35759999999999997</v>
      </c>
      <c r="C21">
        <v>136.66220100000001</v>
      </c>
      <c r="D21" s="1">
        <f t="shared" si="1"/>
        <v>1.0641317999996545E-3</v>
      </c>
      <c r="G21">
        <f t="shared" si="4"/>
        <v>0.10799999999999998</v>
      </c>
      <c r="H21" s="1">
        <f t="shared" si="3"/>
        <v>11.260089549999993</v>
      </c>
    </row>
    <row r="22" spans="1:21" x14ac:dyDescent="0.35">
      <c r="A22">
        <f t="shared" si="0"/>
        <v>0.25200000000000006</v>
      </c>
      <c r="B22">
        <v>0.35776000000000002</v>
      </c>
      <c r="C22">
        <v>136.72335799999999</v>
      </c>
      <c r="D22" s="1">
        <f t="shared" si="1"/>
        <v>-5.3205719999984921E-4</v>
      </c>
      <c r="G22">
        <f t="shared" si="4"/>
        <v>0.11999999999999998</v>
      </c>
      <c r="H22" s="1">
        <f t="shared" si="3"/>
        <v>11.969425200000046</v>
      </c>
    </row>
    <row r="23" spans="1:21" x14ac:dyDescent="0.35">
      <c r="A23">
        <f t="shared" si="0"/>
        <v>0.26400000000000007</v>
      </c>
      <c r="B23">
        <v>0.35768</v>
      </c>
      <c r="C23">
        <v>136.69278</v>
      </c>
      <c r="D23" s="1">
        <f t="shared" si="1"/>
        <v>5.3205719999984921E-4</v>
      </c>
      <c r="G23">
        <f t="shared" si="4"/>
        <v>0.13199999999999998</v>
      </c>
      <c r="H23" s="1">
        <f t="shared" si="3"/>
        <v>12.723032249999953</v>
      </c>
    </row>
    <row r="24" spans="1:21" x14ac:dyDescent="0.35">
      <c r="A24">
        <f t="shared" si="0"/>
        <v>0.27600000000000008</v>
      </c>
      <c r="B24">
        <v>0.35776000000000002</v>
      </c>
      <c r="C24">
        <v>136.72335799999999</v>
      </c>
      <c r="D24" s="1">
        <f t="shared" si="1"/>
        <v>-5.3205719999984921E-4</v>
      </c>
      <c r="G24">
        <f t="shared" si="4"/>
        <v>0.14399999999999999</v>
      </c>
      <c r="H24" s="1">
        <f t="shared" si="3"/>
        <v>13.033362699999998</v>
      </c>
    </row>
    <row r="25" spans="1:21" x14ac:dyDescent="0.35">
      <c r="A25">
        <f t="shared" si="0"/>
        <v>0.28800000000000009</v>
      </c>
      <c r="B25">
        <v>0.35768</v>
      </c>
      <c r="C25">
        <v>136.69278</v>
      </c>
      <c r="D25" s="1">
        <f t="shared" si="1"/>
        <v>1.063870799999819E-3</v>
      </c>
      <c r="G25">
        <f t="shared" si="4"/>
        <v>0.156</v>
      </c>
      <c r="H25" s="1">
        <f t="shared" si="3"/>
        <v>13.16635670000001</v>
      </c>
    </row>
    <row r="26" spans="1:21" x14ac:dyDescent="0.35">
      <c r="A26">
        <f t="shared" si="0"/>
        <v>0.3000000000000001</v>
      </c>
      <c r="B26">
        <v>0.35783999999999999</v>
      </c>
      <c r="C26">
        <v>136.75392199999999</v>
      </c>
      <c r="D26" s="1">
        <f t="shared" si="1"/>
        <v>-1.063870799999819E-3</v>
      </c>
      <c r="G26">
        <f t="shared" si="4"/>
        <v>0.16800000000000001</v>
      </c>
      <c r="H26" s="1">
        <f t="shared" si="3"/>
        <v>14.407604549999963</v>
      </c>
      <c r="T26" t="s">
        <v>4</v>
      </c>
      <c r="U26">
        <f>AVERAGE(G18:G19)</f>
        <v>7.7999999999999986E-2</v>
      </c>
    </row>
    <row r="27" spans="1:21" x14ac:dyDescent="0.35">
      <c r="A27">
        <f t="shared" si="0"/>
        <v>0.31200000000000011</v>
      </c>
      <c r="B27">
        <v>0.35768</v>
      </c>
      <c r="C27">
        <v>136.69278</v>
      </c>
      <c r="D27" s="1">
        <f t="shared" si="1"/>
        <v>5.3205719999984921E-4</v>
      </c>
      <c r="G27">
        <f t="shared" si="4"/>
        <v>0.18000000000000002</v>
      </c>
      <c r="H27" s="1">
        <f t="shared" si="3"/>
        <v>13.786969749999974</v>
      </c>
    </row>
    <row r="28" spans="1:21" x14ac:dyDescent="0.35">
      <c r="A28">
        <f t="shared" si="0"/>
        <v>0.32400000000000012</v>
      </c>
      <c r="B28">
        <v>0.35776000000000002</v>
      </c>
      <c r="C28">
        <v>136.72335799999999</v>
      </c>
      <c r="D28" s="1">
        <f t="shared" si="1"/>
        <v>0</v>
      </c>
      <c r="G28">
        <f t="shared" si="4"/>
        <v>0.19200000000000003</v>
      </c>
      <c r="H28" s="1">
        <f t="shared" si="3"/>
        <v>13.786991500000003</v>
      </c>
    </row>
    <row r="29" spans="1:21" x14ac:dyDescent="0.35">
      <c r="A29">
        <f t="shared" si="0"/>
        <v>0.33600000000000013</v>
      </c>
      <c r="B29">
        <v>0.35776000000000002</v>
      </c>
      <c r="C29">
        <v>136.72335799999999</v>
      </c>
      <c r="D29" s="1">
        <f t="shared" si="1"/>
        <v>0</v>
      </c>
      <c r="G29">
        <f t="shared" si="4"/>
        <v>0.20400000000000004</v>
      </c>
      <c r="H29" s="1">
        <f t="shared" si="3"/>
        <v>13.875648850000022</v>
      </c>
      <c r="T29" t="s">
        <v>5</v>
      </c>
      <c r="U29">
        <v>0.35899999999999999</v>
      </c>
    </row>
    <row r="30" spans="1:21" x14ac:dyDescent="0.35">
      <c r="A30">
        <f t="shared" si="0"/>
        <v>0.34800000000000014</v>
      </c>
      <c r="B30">
        <v>0.35776000000000002</v>
      </c>
      <c r="C30">
        <v>136.72335799999999</v>
      </c>
      <c r="D30" s="1">
        <f t="shared" si="1"/>
        <v>0</v>
      </c>
      <c r="G30">
        <f t="shared" si="4"/>
        <v>0.21600000000000005</v>
      </c>
      <c r="H30" s="1">
        <f t="shared" si="3"/>
        <v>13.609634749999939</v>
      </c>
      <c r="T30" t="s">
        <v>6</v>
      </c>
      <c r="U30">
        <v>0.22</v>
      </c>
    </row>
    <row r="31" spans="1:21" x14ac:dyDescent="0.35">
      <c r="A31">
        <f t="shared" si="0"/>
        <v>0.36000000000000015</v>
      </c>
      <c r="B31">
        <v>0.35776000000000002</v>
      </c>
      <c r="C31">
        <v>136.72335799999999</v>
      </c>
      <c r="D31" s="1">
        <f t="shared" si="1"/>
        <v>-5.3205719999984921E-4</v>
      </c>
      <c r="G31">
        <f t="shared" si="4"/>
        <v>0.22800000000000006</v>
      </c>
      <c r="H31" s="1">
        <f t="shared" si="3"/>
        <v>14.008642849999998</v>
      </c>
      <c r="T31" t="s">
        <v>7</v>
      </c>
      <c r="U31">
        <v>1.9699999999999999E-2</v>
      </c>
    </row>
    <row r="32" spans="1:21" x14ac:dyDescent="0.35">
      <c r="A32">
        <f t="shared" si="0"/>
        <v>0.37200000000000016</v>
      </c>
      <c r="B32">
        <v>0.35768</v>
      </c>
      <c r="C32">
        <v>136.69278</v>
      </c>
      <c r="D32" s="1">
        <f t="shared" si="1"/>
        <v>5.3205719999984921E-4</v>
      </c>
      <c r="G32">
        <f t="shared" si="4"/>
        <v>0.24000000000000007</v>
      </c>
      <c r="H32" s="1">
        <f t="shared" si="3"/>
        <v>13.87567060000001</v>
      </c>
      <c r="T32" t="s">
        <v>8</v>
      </c>
      <c r="U32">
        <v>2.8</v>
      </c>
    </row>
    <row r="33" spans="1:21" x14ac:dyDescent="0.35">
      <c r="A33">
        <f t="shared" si="0"/>
        <v>0.38400000000000017</v>
      </c>
      <c r="B33">
        <v>0.35776000000000002</v>
      </c>
      <c r="C33">
        <v>136.72335799999999</v>
      </c>
      <c r="D33" s="1">
        <f t="shared" si="1"/>
        <v>-5.3205719999984921E-4</v>
      </c>
      <c r="G33">
        <f t="shared" si="4"/>
        <v>0.25200000000000006</v>
      </c>
      <c r="H33" s="1">
        <f t="shared" si="3"/>
        <v>13.609636199999937</v>
      </c>
    </row>
    <row r="34" spans="1:21" x14ac:dyDescent="0.35">
      <c r="A34">
        <f t="shared" si="0"/>
        <v>0.39600000000000019</v>
      </c>
      <c r="B34">
        <v>0.35768</v>
      </c>
      <c r="C34">
        <v>136.69278</v>
      </c>
      <c r="D34" s="1">
        <f t="shared" si="1"/>
        <v>0</v>
      </c>
      <c r="G34">
        <f t="shared" si="4"/>
        <v>0.26400000000000007</v>
      </c>
      <c r="H34" s="1">
        <f t="shared" si="3"/>
        <v>13.786991500000044</v>
      </c>
      <c r="T34" t="s">
        <v>9</v>
      </c>
      <c r="U34">
        <f>(U26*(U32*U31+U30*U29))/(U32)</f>
        <v>3.7367571428571422E-3</v>
      </c>
    </row>
    <row r="35" spans="1:21" x14ac:dyDescent="0.35">
      <c r="A35">
        <f t="shared" si="0"/>
        <v>0.4080000000000002</v>
      </c>
      <c r="B35">
        <v>0.35768</v>
      </c>
      <c r="C35">
        <v>136.69278</v>
      </c>
      <c r="D35" s="1">
        <f t="shared" si="1"/>
        <v>5.3205719999984921E-4</v>
      </c>
      <c r="G35">
        <f t="shared" si="4"/>
        <v>0.27600000000000008</v>
      </c>
      <c r="H35" s="1">
        <f t="shared" si="3"/>
        <v>13.654019249999974</v>
      </c>
    </row>
    <row r="36" spans="1:21" x14ac:dyDescent="0.35">
      <c r="A36">
        <f t="shared" si="0"/>
        <v>0.42000000000000021</v>
      </c>
      <c r="B36">
        <v>0.35776000000000002</v>
      </c>
      <c r="C36">
        <v>136.72335799999999</v>
      </c>
      <c r="D36" s="1">
        <f t="shared" si="1"/>
        <v>-5.3205719999984921E-4</v>
      </c>
      <c r="G36">
        <f t="shared" si="4"/>
        <v>0.28800000000000009</v>
      </c>
      <c r="H36" s="1">
        <f t="shared" si="3"/>
        <v>13.521002049999936</v>
      </c>
    </row>
    <row r="37" spans="1:21" x14ac:dyDescent="0.35">
      <c r="A37">
        <f t="shared" si="0"/>
        <v>0.43200000000000022</v>
      </c>
      <c r="B37">
        <v>0.35768</v>
      </c>
      <c r="C37">
        <v>136.69278</v>
      </c>
      <c r="D37" s="1">
        <f t="shared" si="1"/>
        <v>0</v>
      </c>
      <c r="G37">
        <f t="shared" si="4"/>
        <v>0.3000000000000001</v>
      </c>
      <c r="H37" s="1">
        <f t="shared" si="3"/>
        <v>13.875669150000014</v>
      </c>
    </row>
    <row r="38" spans="1:21" x14ac:dyDescent="0.35">
      <c r="A38">
        <f t="shared" si="0"/>
        <v>0.44400000000000023</v>
      </c>
      <c r="B38">
        <v>0.35768</v>
      </c>
      <c r="C38">
        <v>136.69278</v>
      </c>
      <c r="D38" s="1">
        <f t="shared" si="1"/>
        <v>0</v>
      </c>
      <c r="G38">
        <f t="shared" si="4"/>
        <v>0.31200000000000011</v>
      </c>
      <c r="H38" s="1">
        <f t="shared" si="3"/>
        <v>13.831287549999971</v>
      </c>
    </row>
    <row r="39" spans="1:21" x14ac:dyDescent="0.35">
      <c r="A39">
        <f t="shared" si="0"/>
        <v>0.45600000000000024</v>
      </c>
      <c r="B39">
        <v>0.35768</v>
      </c>
      <c r="C39">
        <v>136.69278</v>
      </c>
      <c r="D39" s="1">
        <f t="shared" si="1"/>
        <v>0</v>
      </c>
      <c r="G39">
        <f t="shared" si="4"/>
        <v>0.32400000000000012</v>
      </c>
      <c r="H39" s="1">
        <f t="shared" si="3"/>
        <v>13.786991500000044</v>
      </c>
    </row>
    <row r="40" spans="1:21" x14ac:dyDescent="0.35">
      <c r="A40">
        <f t="shared" si="0"/>
        <v>0.46800000000000025</v>
      </c>
      <c r="B40">
        <v>0.35768</v>
      </c>
      <c r="C40">
        <v>136.69278</v>
      </c>
      <c r="D40" s="1">
        <f t="shared" si="1"/>
        <v>5.3205719999984921E-4</v>
      </c>
      <c r="G40">
        <f t="shared" si="4"/>
        <v>0.33600000000000013</v>
      </c>
      <c r="H40" s="1">
        <f t="shared" si="3"/>
        <v>13.786947999999988</v>
      </c>
    </row>
    <row r="41" spans="1:21" x14ac:dyDescent="0.35">
      <c r="A41">
        <f t="shared" si="0"/>
        <v>0.48000000000000026</v>
      </c>
      <c r="B41">
        <v>0.35776000000000002</v>
      </c>
      <c r="C41">
        <v>136.72335799999999</v>
      </c>
      <c r="D41" s="1">
        <f t="shared" si="1"/>
        <v>0</v>
      </c>
      <c r="G41">
        <f t="shared" si="4"/>
        <v>0.34800000000000014</v>
      </c>
      <c r="H41" s="1">
        <f t="shared" si="3"/>
        <v>-175.86159699999988</v>
      </c>
    </row>
    <row r="42" spans="1:21" x14ac:dyDescent="0.35">
      <c r="A42">
        <f t="shared" si="0"/>
        <v>0.49200000000000027</v>
      </c>
      <c r="B42">
        <v>0.35776000000000002</v>
      </c>
      <c r="C42">
        <v>136.72335799999999</v>
      </c>
      <c r="D42" s="1">
        <f t="shared" si="1"/>
        <v>0</v>
      </c>
      <c r="G42">
        <f t="shared" si="4"/>
        <v>0.36000000000000015</v>
      </c>
      <c r="H42" s="1">
        <f t="shared" si="3"/>
        <v>-317.98727649999972</v>
      </c>
    </row>
    <row r="43" spans="1:21" x14ac:dyDescent="0.35">
      <c r="A43">
        <f t="shared" si="0"/>
        <v>0.50400000000000023</v>
      </c>
      <c r="B43">
        <v>0.35776000000000002</v>
      </c>
      <c r="C43">
        <v>136.72335799999999</v>
      </c>
      <c r="D43" s="1">
        <f t="shared" si="1"/>
        <v>-1.0641317999996545E-3</v>
      </c>
      <c r="G43">
        <f t="shared" si="4"/>
        <v>0.37200000000000016</v>
      </c>
      <c r="H43" s="1">
        <f t="shared" si="3"/>
        <v>14.052969350000053</v>
      </c>
    </row>
    <row r="44" spans="1:21" x14ac:dyDescent="0.35">
      <c r="A44">
        <f t="shared" si="0"/>
        <v>0.51600000000000024</v>
      </c>
      <c r="B44">
        <v>0.35759999999999997</v>
      </c>
      <c r="C44">
        <v>136.66220100000001</v>
      </c>
      <c r="D44" s="1">
        <f t="shared" si="1"/>
        <v>1.0641317999996545E-3</v>
      </c>
      <c r="G44">
        <f t="shared" si="4"/>
        <v>0.38400000000000017</v>
      </c>
      <c r="H44" s="1">
        <f t="shared" si="3"/>
        <v>13.786987149999987</v>
      </c>
    </row>
    <row r="45" spans="1:21" x14ac:dyDescent="0.35">
      <c r="A45">
        <f t="shared" si="0"/>
        <v>0.52800000000000025</v>
      </c>
      <c r="B45">
        <v>0.35776000000000002</v>
      </c>
      <c r="C45">
        <v>136.72335799999999</v>
      </c>
      <c r="D45" s="1">
        <f t="shared" si="1"/>
        <v>0</v>
      </c>
      <c r="G45">
        <f t="shared" si="4"/>
        <v>0.39600000000000019</v>
      </c>
      <c r="H45" s="1">
        <f t="shared" si="3"/>
        <v>14.008642849999985</v>
      </c>
    </row>
    <row r="46" spans="1:21" x14ac:dyDescent="0.35">
      <c r="A46">
        <f t="shared" si="0"/>
        <v>0.54000000000000026</v>
      </c>
      <c r="B46">
        <v>0.35776000000000002</v>
      </c>
      <c r="C46">
        <v>136.72335799999999</v>
      </c>
      <c r="D46" s="1">
        <f t="shared" si="1"/>
        <v>0</v>
      </c>
      <c r="G46">
        <f t="shared" si="4"/>
        <v>0.4080000000000002</v>
      </c>
      <c r="H46" s="1">
        <f t="shared" si="3"/>
        <v>13.476656699999989</v>
      </c>
    </row>
    <row r="47" spans="1:21" x14ac:dyDescent="0.35">
      <c r="A47">
        <f t="shared" si="0"/>
        <v>0.55200000000000027</v>
      </c>
      <c r="B47">
        <v>0.35776000000000002</v>
      </c>
      <c r="C47">
        <v>136.72335799999999</v>
      </c>
      <c r="D47" s="1">
        <f t="shared" si="1"/>
        <v>-5.3205719999984921E-4</v>
      </c>
      <c r="G47">
        <f t="shared" si="4"/>
        <v>0.42000000000000021</v>
      </c>
      <c r="H47" s="1">
        <f t="shared" si="3"/>
        <v>13.83132524999999</v>
      </c>
    </row>
    <row r="48" spans="1:21" x14ac:dyDescent="0.35">
      <c r="A48">
        <f t="shared" si="0"/>
        <v>0.56400000000000028</v>
      </c>
      <c r="B48">
        <v>0.35768</v>
      </c>
      <c r="C48">
        <v>136.69278</v>
      </c>
      <c r="D48" s="1">
        <f t="shared" si="1"/>
        <v>5.3205719999984921E-4</v>
      </c>
      <c r="G48">
        <f t="shared" si="4"/>
        <v>0.43200000000000022</v>
      </c>
      <c r="H48" s="1">
        <f t="shared" si="3"/>
        <v>13.919976799999976</v>
      </c>
    </row>
    <row r="49" spans="1:8" x14ac:dyDescent="0.35">
      <c r="A49">
        <f t="shared" si="0"/>
        <v>0.57600000000000029</v>
      </c>
      <c r="B49">
        <v>0.35776000000000002</v>
      </c>
      <c r="C49">
        <v>136.72335799999999</v>
      </c>
      <c r="D49" s="1">
        <f t="shared" si="1"/>
        <v>-5.3205719999984921E-4</v>
      </c>
      <c r="G49">
        <f t="shared" si="4"/>
        <v>0.44400000000000023</v>
      </c>
      <c r="H49" s="1">
        <f t="shared" si="3"/>
        <v>14.274632299999999</v>
      </c>
    </row>
    <row r="50" spans="1:8" x14ac:dyDescent="0.35">
      <c r="A50">
        <f t="shared" si="0"/>
        <v>0.5880000000000003</v>
      </c>
      <c r="B50">
        <v>0.35768</v>
      </c>
      <c r="C50">
        <v>136.69278</v>
      </c>
      <c r="D50" s="1">
        <f t="shared" si="1"/>
        <v>5.3205719999984921E-4</v>
      </c>
      <c r="G50">
        <f t="shared" si="4"/>
        <v>0.45600000000000024</v>
      </c>
      <c r="H50" s="1">
        <f t="shared" si="3"/>
        <v>14.895245349999982</v>
      </c>
    </row>
    <row r="51" spans="1:8" x14ac:dyDescent="0.35">
      <c r="A51">
        <f t="shared" si="0"/>
        <v>0.60000000000000031</v>
      </c>
      <c r="B51">
        <v>0.35776000000000002</v>
      </c>
      <c r="C51">
        <v>136.72335799999999</v>
      </c>
      <c r="D51" s="1">
        <f t="shared" si="1"/>
        <v>0</v>
      </c>
      <c r="G51">
        <f t="shared" si="4"/>
        <v>0.46800000000000025</v>
      </c>
      <c r="H51" s="1">
        <f t="shared" si="3"/>
        <v>13.565340149999987</v>
      </c>
    </row>
    <row r="52" spans="1:8" x14ac:dyDescent="0.35">
      <c r="A52">
        <f t="shared" si="0"/>
        <v>0.61200000000000032</v>
      </c>
      <c r="B52">
        <v>0.35776000000000002</v>
      </c>
      <c r="C52">
        <v>136.72335799999999</v>
      </c>
      <c r="D52" s="1">
        <f t="shared" si="1"/>
        <v>-5.3205719999984921E-4</v>
      </c>
      <c r="G52">
        <f t="shared" si="4"/>
        <v>0.48000000000000026</v>
      </c>
      <c r="H52" s="1">
        <f t="shared" si="3"/>
        <v>13.565319849999998</v>
      </c>
    </row>
    <row r="53" spans="1:8" x14ac:dyDescent="0.35">
      <c r="A53">
        <f t="shared" si="0"/>
        <v>0.62400000000000033</v>
      </c>
      <c r="B53">
        <v>0.35768</v>
      </c>
      <c r="C53">
        <v>136.69278</v>
      </c>
      <c r="D53" s="1">
        <f t="shared" si="1"/>
        <v>5.3205719999984921E-4</v>
      </c>
      <c r="G53">
        <f t="shared" si="4"/>
        <v>0.49200000000000027</v>
      </c>
      <c r="H53" s="1">
        <f t="shared" si="3"/>
        <v>14.008642849999976</v>
      </c>
    </row>
    <row r="54" spans="1:8" x14ac:dyDescent="0.35">
      <c r="A54">
        <f t="shared" si="0"/>
        <v>0.63600000000000034</v>
      </c>
      <c r="B54">
        <v>0.35776000000000002</v>
      </c>
      <c r="C54">
        <v>136.72335799999999</v>
      </c>
      <c r="D54" s="1">
        <f t="shared" si="1"/>
        <v>0</v>
      </c>
      <c r="G54">
        <f t="shared" si="4"/>
        <v>0.50400000000000023</v>
      </c>
      <c r="H54" s="1">
        <f t="shared" si="3"/>
        <v>13.831319449999993</v>
      </c>
    </row>
    <row r="55" spans="1:8" x14ac:dyDescent="0.35">
      <c r="A55">
        <f t="shared" si="0"/>
        <v>0.64800000000000035</v>
      </c>
      <c r="B55">
        <v>0.35776000000000002</v>
      </c>
      <c r="C55">
        <v>136.72335799999999</v>
      </c>
      <c r="D55" s="1">
        <f t="shared" si="1"/>
        <v>0</v>
      </c>
      <c r="G55">
        <f t="shared" si="4"/>
        <v>0.51600000000000024</v>
      </c>
      <c r="H55" s="1">
        <f t="shared" si="3"/>
        <v>13.831331049999985</v>
      </c>
    </row>
    <row r="56" spans="1:8" x14ac:dyDescent="0.35">
      <c r="A56">
        <f t="shared" si="0"/>
        <v>0.66000000000000036</v>
      </c>
      <c r="B56">
        <v>0.35776000000000002</v>
      </c>
      <c r="C56">
        <v>136.72335799999999</v>
      </c>
      <c r="D56" s="1">
        <f t="shared" si="1"/>
        <v>5.3181359999996964E-4</v>
      </c>
      <c r="G56">
        <f t="shared" si="4"/>
        <v>0.52800000000000025</v>
      </c>
      <c r="H56" s="1">
        <f t="shared" si="3"/>
        <v>14.052959199999997</v>
      </c>
    </row>
    <row r="57" spans="1:8" x14ac:dyDescent="0.35">
      <c r="A57">
        <f t="shared" si="0"/>
        <v>0.67200000000000037</v>
      </c>
      <c r="B57">
        <v>0.35783999999999999</v>
      </c>
      <c r="C57">
        <v>136.75392199999999</v>
      </c>
      <c r="D57" s="1">
        <f t="shared" si="1"/>
        <v>-5.3181359999996964E-4</v>
      </c>
      <c r="G57">
        <f t="shared" si="4"/>
        <v>0.54000000000000026</v>
      </c>
      <c r="H57" s="1">
        <f t="shared" si="3"/>
        <v>13.786969749999974</v>
      </c>
    </row>
    <row r="58" spans="1:8" x14ac:dyDescent="0.35">
      <c r="A58">
        <f t="shared" si="0"/>
        <v>0.68400000000000039</v>
      </c>
      <c r="B58">
        <v>0.35776000000000002</v>
      </c>
      <c r="C58">
        <v>136.72335799999999</v>
      </c>
      <c r="D58" s="1">
        <f t="shared" si="1"/>
        <v>0</v>
      </c>
      <c r="G58">
        <f t="shared" si="4"/>
        <v>0.55200000000000027</v>
      </c>
      <c r="H58" s="1">
        <f t="shared" si="3"/>
        <v>14.141636849999969</v>
      </c>
    </row>
    <row r="59" spans="1:8" x14ac:dyDescent="0.35">
      <c r="A59">
        <f t="shared" si="0"/>
        <v>0.6960000000000004</v>
      </c>
      <c r="B59">
        <v>0.35776000000000002</v>
      </c>
      <c r="C59">
        <v>136.72335799999999</v>
      </c>
      <c r="D59" s="1">
        <f t="shared" si="1"/>
        <v>-5.3205719999984921E-4</v>
      </c>
      <c r="G59">
        <f t="shared" si="4"/>
        <v>0.56400000000000028</v>
      </c>
      <c r="H59" s="1">
        <f t="shared" si="3"/>
        <v>14.141660049999992</v>
      </c>
    </row>
    <row r="60" spans="1:8" x14ac:dyDescent="0.35">
      <c r="A60">
        <f t="shared" si="0"/>
        <v>0.70800000000000041</v>
      </c>
      <c r="B60">
        <v>0.35768</v>
      </c>
      <c r="C60">
        <v>136.69278</v>
      </c>
      <c r="D60" s="1">
        <f t="shared" si="1"/>
        <v>1.063870799999819E-3</v>
      </c>
      <c r="G60">
        <f t="shared" si="4"/>
        <v>0.57600000000000029</v>
      </c>
      <c r="H60" s="1">
        <f t="shared" si="3"/>
        <v>14.185954650000006</v>
      </c>
    </row>
    <row r="61" spans="1:8" x14ac:dyDescent="0.35">
      <c r="A61">
        <f t="shared" si="0"/>
        <v>0.72000000000000042</v>
      </c>
      <c r="B61">
        <v>0.35783999999999999</v>
      </c>
      <c r="C61">
        <v>136.75392199999999</v>
      </c>
      <c r="D61" s="1">
        <f t="shared" si="1"/>
        <v>-5.3181359999996964E-4</v>
      </c>
      <c r="G61">
        <f t="shared" si="4"/>
        <v>0.5880000000000003</v>
      </c>
      <c r="H61" s="1">
        <f t="shared" si="3"/>
        <v>13.831307849999963</v>
      </c>
    </row>
    <row r="62" spans="1:8" x14ac:dyDescent="0.35">
      <c r="A62">
        <f t="shared" si="0"/>
        <v>0.73200000000000043</v>
      </c>
      <c r="B62">
        <v>0.35776000000000002</v>
      </c>
      <c r="C62">
        <v>136.72335799999999</v>
      </c>
      <c r="D62" s="1">
        <f t="shared" si="1"/>
        <v>-5.3205719999984921E-4</v>
      </c>
      <c r="G62">
        <f t="shared" si="4"/>
        <v>0.60000000000000031</v>
      </c>
      <c r="H62" s="1">
        <f t="shared" si="3"/>
        <v>13.521002050000019</v>
      </c>
    </row>
    <row r="63" spans="1:8" x14ac:dyDescent="0.35">
      <c r="A63">
        <f t="shared" si="0"/>
        <v>0.74400000000000044</v>
      </c>
      <c r="B63">
        <v>0.35768</v>
      </c>
      <c r="C63">
        <v>136.69278</v>
      </c>
      <c r="D63" s="1">
        <f t="shared" si="1"/>
        <v>0</v>
      </c>
      <c r="G63">
        <f t="shared" si="4"/>
        <v>0.61200000000000032</v>
      </c>
      <c r="H63" s="1">
        <f t="shared" si="3"/>
        <v>14.540599999999975</v>
      </c>
    </row>
    <row r="64" spans="1:8" x14ac:dyDescent="0.35">
      <c r="A64">
        <f t="shared" si="0"/>
        <v>0.75600000000000045</v>
      </c>
      <c r="B64">
        <v>0.35768</v>
      </c>
      <c r="C64">
        <v>136.69278</v>
      </c>
      <c r="D64" s="1">
        <f t="shared" si="1"/>
        <v>5.3205719999984921E-4</v>
      </c>
      <c r="G64">
        <f t="shared" si="4"/>
        <v>0.62400000000000033</v>
      </c>
      <c r="H64" s="1">
        <f t="shared" si="3"/>
        <v>14.185976399999994</v>
      </c>
    </row>
    <row r="65" spans="1:8" x14ac:dyDescent="0.35">
      <c r="A65">
        <f t="shared" si="0"/>
        <v>0.76800000000000046</v>
      </c>
      <c r="B65">
        <v>0.35776000000000002</v>
      </c>
      <c r="C65">
        <v>136.72335799999999</v>
      </c>
      <c r="D65" s="1">
        <f t="shared" si="1"/>
        <v>0</v>
      </c>
      <c r="G65">
        <f t="shared" si="4"/>
        <v>0.63600000000000034</v>
      </c>
      <c r="H65" s="1">
        <f t="shared" si="3"/>
        <v>14.363288199999964</v>
      </c>
    </row>
    <row r="66" spans="1:8" x14ac:dyDescent="0.35">
      <c r="A66">
        <f t="shared" si="0"/>
        <v>0.78000000000000047</v>
      </c>
      <c r="B66">
        <v>0.35776000000000002</v>
      </c>
      <c r="C66">
        <v>136.72335799999999</v>
      </c>
      <c r="D66" s="1">
        <f t="shared" si="1"/>
        <v>-5.3205719999984921E-4</v>
      </c>
      <c r="G66">
        <f t="shared" si="4"/>
        <v>0.64800000000000035</v>
      </c>
      <c r="H66" s="1">
        <f t="shared" si="3"/>
        <v>14.629277649999986</v>
      </c>
    </row>
    <row r="67" spans="1:8" x14ac:dyDescent="0.35">
      <c r="A67">
        <f t="shared" si="0"/>
        <v>0.79200000000000048</v>
      </c>
      <c r="B67">
        <v>0.35768</v>
      </c>
      <c r="C67">
        <v>136.69278</v>
      </c>
      <c r="D67" s="1">
        <f t="shared" si="1"/>
        <v>5.3205719999984921E-4</v>
      </c>
      <c r="G67">
        <f t="shared" si="4"/>
        <v>0.66000000000000036</v>
      </c>
      <c r="H67" s="1">
        <f t="shared" si="3"/>
        <v>14.141638300000006</v>
      </c>
    </row>
    <row r="68" spans="1:8" x14ac:dyDescent="0.35">
      <c r="A68">
        <f t="shared" ref="A68:A131" si="5">A67+12*10^-3</f>
        <v>0.80400000000000049</v>
      </c>
      <c r="B68">
        <v>0.35776000000000002</v>
      </c>
      <c r="C68">
        <v>136.72335799999999</v>
      </c>
      <c r="D68" s="1">
        <f t="shared" ref="D68:D131" si="6">(C69-C68)*0.0174</f>
        <v>5.3181359999996964E-4</v>
      </c>
      <c r="G68">
        <f t="shared" si="4"/>
        <v>0.67200000000000037</v>
      </c>
      <c r="H68" s="1">
        <f t="shared" si="3"/>
        <v>14.45194409999999</v>
      </c>
    </row>
    <row r="69" spans="1:8" x14ac:dyDescent="0.35">
      <c r="A69">
        <f t="shared" si="5"/>
        <v>0.8160000000000005</v>
      </c>
      <c r="B69">
        <v>0.35783999999999999</v>
      </c>
      <c r="C69">
        <v>136.75392199999999</v>
      </c>
      <c r="D69" s="1">
        <f t="shared" si="6"/>
        <v>-5.3181359999996964E-4</v>
      </c>
      <c r="G69">
        <f t="shared" si="4"/>
        <v>0.68400000000000039</v>
      </c>
      <c r="H69" s="1">
        <f t="shared" ref="H69:H132" si="7">D148/(A69-A68)</f>
        <v>14.407648049999978</v>
      </c>
    </row>
    <row r="70" spans="1:8" x14ac:dyDescent="0.35">
      <c r="A70">
        <f t="shared" si="5"/>
        <v>0.82800000000000051</v>
      </c>
      <c r="B70">
        <v>0.35776000000000002</v>
      </c>
      <c r="C70">
        <v>136.72335799999999</v>
      </c>
      <c r="D70" s="1">
        <f t="shared" si="6"/>
        <v>-1.0641317999996545E-3</v>
      </c>
      <c r="G70">
        <f t="shared" si="4"/>
        <v>0.6960000000000004</v>
      </c>
      <c r="H70" s="1">
        <f t="shared" si="7"/>
        <v>13.742653399999973</v>
      </c>
    </row>
    <row r="71" spans="1:8" x14ac:dyDescent="0.35">
      <c r="A71">
        <f t="shared" si="5"/>
        <v>0.84000000000000052</v>
      </c>
      <c r="B71">
        <v>0.35759999999999997</v>
      </c>
      <c r="C71">
        <v>136.66220100000001</v>
      </c>
      <c r="D71" s="1">
        <f t="shared" si="6"/>
        <v>1.0641317999996545E-3</v>
      </c>
      <c r="G71">
        <f t="shared" si="4"/>
        <v>0.70800000000000041</v>
      </c>
      <c r="H71" s="1">
        <f t="shared" si="7"/>
        <v>13.964259799999956</v>
      </c>
    </row>
    <row r="72" spans="1:8" x14ac:dyDescent="0.35">
      <c r="A72">
        <f t="shared" si="5"/>
        <v>0.85200000000000053</v>
      </c>
      <c r="B72">
        <v>0.35776000000000002</v>
      </c>
      <c r="C72">
        <v>136.72335799999999</v>
      </c>
      <c r="D72" s="1">
        <f t="shared" si="6"/>
        <v>5.3181359999996964E-4</v>
      </c>
      <c r="G72">
        <f t="shared" si="4"/>
        <v>0.72000000000000042</v>
      </c>
      <c r="H72" s="1">
        <f t="shared" si="7"/>
        <v>13.698357350000043</v>
      </c>
    </row>
    <row r="73" spans="1:8" x14ac:dyDescent="0.35">
      <c r="A73">
        <f t="shared" si="5"/>
        <v>0.86400000000000055</v>
      </c>
      <c r="B73">
        <v>0.35783999999999999</v>
      </c>
      <c r="C73">
        <v>136.75392199999999</v>
      </c>
      <c r="D73" s="1">
        <f t="shared" si="6"/>
        <v>0</v>
      </c>
      <c r="G73">
        <f t="shared" si="4"/>
        <v>0.73200000000000043</v>
      </c>
      <c r="H73" s="1">
        <f t="shared" si="7"/>
        <v>14.23029419999995</v>
      </c>
    </row>
    <row r="74" spans="1:8" x14ac:dyDescent="0.35">
      <c r="A74">
        <f t="shared" si="5"/>
        <v>0.87600000000000056</v>
      </c>
      <c r="B74">
        <v>0.35783999999999999</v>
      </c>
      <c r="C74">
        <v>136.75392199999999</v>
      </c>
      <c r="D74" s="1">
        <f t="shared" si="6"/>
        <v>-5.3181359999996964E-4</v>
      </c>
      <c r="G74">
        <f t="shared" si="4"/>
        <v>0.74400000000000044</v>
      </c>
      <c r="H74" s="1">
        <f t="shared" si="7"/>
        <v>13.476662500000037</v>
      </c>
    </row>
    <row r="75" spans="1:8" x14ac:dyDescent="0.35">
      <c r="A75">
        <f t="shared" si="5"/>
        <v>0.88800000000000057</v>
      </c>
      <c r="B75">
        <v>0.35776000000000002</v>
      </c>
      <c r="C75">
        <v>136.72335799999999</v>
      </c>
      <c r="D75" s="1">
        <f t="shared" si="6"/>
        <v>0</v>
      </c>
      <c r="G75">
        <f t="shared" si="4"/>
        <v>0.75600000000000045</v>
      </c>
      <c r="H75" s="1">
        <f t="shared" si="7"/>
        <v>14.23029419999995</v>
      </c>
    </row>
    <row r="76" spans="1:8" x14ac:dyDescent="0.35">
      <c r="A76">
        <f t="shared" si="5"/>
        <v>0.90000000000000058</v>
      </c>
      <c r="B76">
        <v>0.35776000000000002</v>
      </c>
      <c r="C76">
        <v>136.72335799999999</v>
      </c>
      <c r="D76" s="1">
        <f t="shared" si="6"/>
        <v>0</v>
      </c>
      <c r="G76">
        <f t="shared" si="4"/>
        <v>0.76800000000000046</v>
      </c>
      <c r="H76" s="1">
        <f t="shared" si="7"/>
        <v>14.141658599999955</v>
      </c>
    </row>
    <row r="77" spans="1:8" x14ac:dyDescent="0.35">
      <c r="A77">
        <f t="shared" si="5"/>
        <v>0.91200000000000059</v>
      </c>
      <c r="B77">
        <v>0.35776000000000002</v>
      </c>
      <c r="C77">
        <v>136.72335799999999</v>
      </c>
      <c r="D77" s="1">
        <f t="shared" si="6"/>
        <v>0</v>
      </c>
      <c r="G77">
        <f t="shared" si="4"/>
        <v>0.78000000000000047</v>
      </c>
      <c r="H77" s="1">
        <f t="shared" si="7"/>
        <v>14.052937450000011</v>
      </c>
    </row>
    <row r="78" spans="1:8" x14ac:dyDescent="0.35">
      <c r="A78">
        <f t="shared" si="5"/>
        <v>0.9240000000000006</v>
      </c>
      <c r="B78">
        <v>0.35776000000000002</v>
      </c>
      <c r="C78">
        <v>136.72335799999999</v>
      </c>
      <c r="D78" s="1">
        <f t="shared" si="6"/>
        <v>-5.3205719999984921E-4</v>
      </c>
      <c r="G78">
        <f t="shared" ref="G78:G141" si="8">A67</f>
        <v>0.79200000000000048</v>
      </c>
      <c r="H78" s="1">
        <f t="shared" si="7"/>
        <v>-45.040403149999939</v>
      </c>
    </row>
    <row r="79" spans="1:8" x14ac:dyDescent="0.35">
      <c r="A79">
        <f t="shared" si="5"/>
        <v>0.93600000000000061</v>
      </c>
      <c r="B79">
        <v>0.35768</v>
      </c>
      <c r="C79">
        <v>136.69278</v>
      </c>
      <c r="D79" s="1">
        <f t="shared" si="6"/>
        <v>5.3205719999984921E-4</v>
      </c>
      <c r="G79">
        <f t="shared" si="8"/>
        <v>0.80400000000000049</v>
      </c>
      <c r="H79" s="1">
        <f t="shared" si="7"/>
        <v>-446.54760569999956</v>
      </c>
    </row>
    <row r="80" spans="1:8" x14ac:dyDescent="0.35">
      <c r="A80">
        <f t="shared" si="5"/>
        <v>0.94800000000000062</v>
      </c>
      <c r="B80">
        <v>0.35776000000000002</v>
      </c>
      <c r="C80">
        <v>136.72335799999999</v>
      </c>
      <c r="D80" s="1">
        <f t="shared" si="6"/>
        <v>-5.3205719999984921E-4</v>
      </c>
      <c r="G80">
        <f t="shared" si="8"/>
        <v>0.8160000000000005</v>
      </c>
      <c r="H80" s="1">
        <f t="shared" si="7"/>
        <v>14.407624849999983</v>
      </c>
    </row>
    <row r="81" spans="1:8" x14ac:dyDescent="0.35">
      <c r="A81">
        <f t="shared" si="5"/>
        <v>0.96000000000000063</v>
      </c>
      <c r="B81">
        <v>0.35768</v>
      </c>
      <c r="C81">
        <v>136.69278</v>
      </c>
      <c r="D81" s="1">
        <f t="shared" si="6"/>
        <v>5.3205719999984921E-4</v>
      </c>
      <c r="G81">
        <f t="shared" si="8"/>
        <v>0.82800000000000051</v>
      </c>
      <c r="H81" s="1">
        <f t="shared" si="7"/>
        <v>14.141632499999991</v>
      </c>
    </row>
    <row r="82" spans="1:8" x14ac:dyDescent="0.35">
      <c r="A82">
        <f t="shared" si="5"/>
        <v>0.97200000000000064</v>
      </c>
      <c r="B82">
        <v>0.35776000000000002</v>
      </c>
      <c r="C82">
        <v>136.72335799999999</v>
      </c>
      <c r="D82" s="1">
        <f t="shared" si="6"/>
        <v>0</v>
      </c>
      <c r="G82">
        <f t="shared" si="8"/>
        <v>0.84000000000000052</v>
      </c>
      <c r="H82" s="1">
        <f t="shared" si="7"/>
        <v>13.831313649999988</v>
      </c>
    </row>
    <row r="83" spans="1:8" x14ac:dyDescent="0.35">
      <c r="A83">
        <f t="shared" si="5"/>
        <v>0.98400000000000065</v>
      </c>
      <c r="B83">
        <v>0.35776000000000002</v>
      </c>
      <c r="C83">
        <v>136.72335799999999</v>
      </c>
      <c r="D83" s="1">
        <f t="shared" si="6"/>
        <v>0</v>
      </c>
      <c r="G83">
        <f t="shared" si="8"/>
        <v>0.85200000000000053</v>
      </c>
      <c r="H83" s="1">
        <f t="shared" si="7"/>
        <v>13.698319649999984</v>
      </c>
    </row>
    <row r="84" spans="1:8" x14ac:dyDescent="0.35">
      <c r="A84">
        <f t="shared" si="5"/>
        <v>0.99600000000000066</v>
      </c>
      <c r="B84">
        <v>0.35776000000000002</v>
      </c>
      <c r="C84">
        <v>136.72335799999999</v>
      </c>
      <c r="D84" s="1">
        <f t="shared" si="6"/>
        <v>0</v>
      </c>
      <c r="G84">
        <f t="shared" si="8"/>
        <v>0.86400000000000055</v>
      </c>
      <c r="H84" s="1">
        <f t="shared" si="7"/>
        <v>13.698329799999989</v>
      </c>
    </row>
    <row r="85" spans="1:8" x14ac:dyDescent="0.35">
      <c r="A85">
        <f t="shared" si="5"/>
        <v>1.0080000000000007</v>
      </c>
      <c r="B85">
        <v>0.35776000000000002</v>
      </c>
      <c r="C85">
        <v>136.72335799999999</v>
      </c>
      <c r="D85" s="1">
        <f t="shared" si="6"/>
        <v>0</v>
      </c>
      <c r="G85">
        <f t="shared" si="8"/>
        <v>0.87600000000000056</v>
      </c>
      <c r="H85" s="1">
        <f t="shared" si="7"/>
        <v>13.565329999999991</v>
      </c>
    </row>
    <row r="86" spans="1:8" x14ac:dyDescent="0.35">
      <c r="A86">
        <f t="shared" si="5"/>
        <v>1.0200000000000007</v>
      </c>
      <c r="B86">
        <v>0.35776000000000002</v>
      </c>
      <c r="C86">
        <v>136.72335799999999</v>
      </c>
      <c r="D86" s="1">
        <f t="shared" si="6"/>
        <v>-5.3205719999984921E-4</v>
      </c>
      <c r="G86">
        <f t="shared" si="8"/>
        <v>0.88800000000000057</v>
      </c>
      <c r="H86" s="1">
        <f t="shared" si="7"/>
        <v>13.87563724999997</v>
      </c>
    </row>
    <row r="87" spans="1:8" x14ac:dyDescent="0.35">
      <c r="A87">
        <f t="shared" si="5"/>
        <v>1.0320000000000007</v>
      </c>
      <c r="B87">
        <v>0.35768</v>
      </c>
      <c r="C87">
        <v>136.69278</v>
      </c>
      <c r="D87" s="1">
        <f t="shared" si="6"/>
        <v>0</v>
      </c>
      <c r="G87">
        <f t="shared" si="8"/>
        <v>0.90000000000000058</v>
      </c>
      <c r="H87" s="1">
        <f t="shared" si="7"/>
        <v>13.831319449999993</v>
      </c>
    </row>
    <row r="88" spans="1:8" x14ac:dyDescent="0.35">
      <c r="A88">
        <f t="shared" si="5"/>
        <v>1.0440000000000007</v>
      </c>
      <c r="B88">
        <v>0.35768</v>
      </c>
      <c r="C88">
        <v>136.69278</v>
      </c>
      <c r="D88" s="1">
        <f t="shared" si="6"/>
        <v>5.3205719999984921E-4</v>
      </c>
      <c r="G88">
        <f t="shared" si="8"/>
        <v>0.91200000000000059</v>
      </c>
      <c r="H88" s="1">
        <f t="shared" si="7"/>
        <v>13.964314899999984</v>
      </c>
    </row>
    <row r="89" spans="1:8" x14ac:dyDescent="0.35">
      <c r="A89">
        <f t="shared" si="5"/>
        <v>1.0560000000000007</v>
      </c>
      <c r="B89">
        <v>0.35776000000000002</v>
      </c>
      <c r="C89">
        <v>136.72335799999999</v>
      </c>
      <c r="D89" s="1">
        <f t="shared" si="6"/>
        <v>-5.3205719999984921E-4</v>
      </c>
      <c r="G89">
        <f t="shared" si="8"/>
        <v>0.9240000000000006</v>
      </c>
      <c r="H89" s="1">
        <f t="shared" si="7"/>
        <v>14.05297079999999</v>
      </c>
    </row>
    <row r="90" spans="1:8" x14ac:dyDescent="0.35">
      <c r="A90">
        <f t="shared" si="5"/>
        <v>1.0680000000000007</v>
      </c>
      <c r="B90">
        <v>0.35768</v>
      </c>
      <c r="C90">
        <v>136.69278</v>
      </c>
      <c r="D90" s="1">
        <f t="shared" si="6"/>
        <v>5.3205719999984921E-4</v>
      </c>
      <c r="G90">
        <f t="shared" si="8"/>
        <v>0.93600000000000061</v>
      </c>
      <c r="H90" s="1">
        <f t="shared" si="7"/>
        <v>13.875647399999986</v>
      </c>
    </row>
    <row r="91" spans="1:8" x14ac:dyDescent="0.35">
      <c r="A91">
        <f t="shared" si="5"/>
        <v>1.0800000000000007</v>
      </c>
      <c r="B91">
        <v>0.35776000000000002</v>
      </c>
      <c r="C91">
        <v>136.72335799999999</v>
      </c>
      <c r="D91" s="1">
        <f t="shared" si="6"/>
        <v>-5.3205719999984921E-4</v>
      </c>
      <c r="G91">
        <f t="shared" si="8"/>
        <v>0.94800000000000062</v>
      </c>
      <c r="H91" s="1">
        <f t="shared" si="7"/>
        <v>14.274622150000003</v>
      </c>
    </row>
    <row r="92" spans="1:8" x14ac:dyDescent="0.35">
      <c r="A92">
        <f t="shared" si="5"/>
        <v>1.0920000000000007</v>
      </c>
      <c r="B92">
        <v>0.35768</v>
      </c>
      <c r="C92">
        <v>136.69278</v>
      </c>
      <c r="D92" s="1">
        <f t="shared" si="6"/>
        <v>1.2767493600000136E-2</v>
      </c>
      <c r="G92">
        <f t="shared" si="8"/>
        <v>0.96000000000000063</v>
      </c>
      <c r="H92" s="1">
        <f t="shared" si="7"/>
        <v>14.318970399999966</v>
      </c>
    </row>
    <row r="93" spans="1:8" x14ac:dyDescent="0.35">
      <c r="A93">
        <f t="shared" si="5"/>
        <v>1.1040000000000008</v>
      </c>
      <c r="B93">
        <v>0.35959999999999998</v>
      </c>
      <c r="C93">
        <v>137.42654400000001</v>
      </c>
      <c r="D93" s="1">
        <f t="shared" si="6"/>
        <v>3.8834050800000006E-2</v>
      </c>
      <c r="G93">
        <f t="shared" si="8"/>
        <v>0.97200000000000064</v>
      </c>
      <c r="H93" s="1">
        <f t="shared" si="7"/>
        <v>14.141615099999983</v>
      </c>
    </row>
    <row r="94" spans="1:8" x14ac:dyDescent="0.35">
      <c r="A94">
        <f t="shared" si="5"/>
        <v>1.1160000000000008</v>
      </c>
      <c r="B94">
        <v>0.36543999999999999</v>
      </c>
      <c r="C94">
        <v>139.65838600000001</v>
      </c>
      <c r="D94" s="1">
        <f t="shared" si="6"/>
        <v>7.4476228199999731E-2</v>
      </c>
      <c r="G94">
        <f t="shared" si="8"/>
        <v>0.98400000000000065</v>
      </c>
      <c r="H94" s="1">
        <f t="shared" si="7"/>
        <v>13.74267515</v>
      </c>
    </row>
    <row r="95" spans="1:8" x14ac:dyDescent="0.35">
      <c r="A95">
        <f t="shared" si="5"/>
        <v>1.1280000000000008</v>
      </c>
      <c r="B95">
        <v>0.37663999999999997</v>
      </c>
      <c r="C95">
        <v>143.93862899999999</v>
      </c>
      <c r="D95" s="1">
        <f t="shared" si="6"/>
        <v>8.8839406200000137E-2</v>
      </c>
      <c r="G95">
        <f t="shared" si="8"/>
        <v>0.99600000000000066</v>
      </c>
      <c r="H95" s="1">
        <f t="shared" si="7"/>
        <v>14.673595449999985</v>
      </c>
    </row>
    <row r="96" spans="1:8" x14ac:dyDescent="0.35">
      <c r="A96">
        <f t="shared" si="5"/>
        <v>1.1400000000000008</v>
      </c>
      <c r="B96">
        <v>0.39</v>
      </c>
      <c r="C96">
        <v>149.044342</v>
      </c>
      <c r="D96" s="1">
        <f t="shared" si="6"/>
        <v>9.5223431400000003E-2</v>
      </c>
      <c r="G96">
        <f t="shared" si="8"/>
        <v>1.0080000000000007</v>
      </c>
      <c r="H96" s="1">
        <f t="shared" si="7"/>
        <v>13.964303299999971</v>
      </c>
    </row>
    <row r="97" spans="1:8" x14ac:dyDescent="0.35">
      <c r="A97">
        <f t="shared" si="5"/>
        <v>1.1520000000000008</v>
      </c>
      <c r="B97">
        <v>0.40432000000000001</v>
      </c>
      <c r="C97">
        <v>154.516953</v>
      </c>
      <c r="D97" s="1">
        <f t="shared" si="6"/>
        <v>0.11916195119999999</v>
      </c>
      <c r="G97">
        <f t="shared" si="8"/>
        <v>1.0200000000000007</v>
      </c>
      <c r="H97" s="1">
        <f t="shared" si="7"/>
        <v>14.141615099999983</v>
      </c>
    </row>
    <row r="98" spans="1:8" x14ac:dyDescent="0.35">
      <c r="A98">
        <f t="shared" si="5"/>
        <v>1.1640000000000008</v>
      </c>
      <c r="B98">
        <v>0.42224</v>
      </c>
      <c r="C98">
        <v>161.365341</v>
      </c>
      <c r="D98" s="1">
        <f t="shared" si="6"/>
        <v>0.12767371799999999</v>
      </c>
      <c r="G98">
        <f t="shared" si="8"/>
        <v>1.0320000000000007</v>
      </c>
      <c r="H98" s="1">
        <f t="shared" si="7"/>
        <v>13.964325049999998</v>
      </c>
    </row>
    <row r="99" spans="1:8" x14ac:dyDescent="0.35">
      <c r="A99">
        <f t="shared" si="5"/>
        <v>1.1760000000000008</v>
      </c>
      <c r="B99">
        <v>0.44144</v>
      </c>
      <c r="C99">
        <v>168.702911</v>
      </c>
      <c r="D99" s="1">
        <f t="shared" si="6"/>
        <v>0.12554599379999981</v>
      </c>
      <c r="G99">
        <f t="shared" si="8"/>
        <v>1.0440000000000007</v>
      </c>
      <c r="H99" s="1">
        <f t="shared" si="7"/>
        <v>13.87567060000001</v>
      </c>
    </row>
    <row r="100" spans="1:8" x14ac:dyDescent="0.35">
      <c r="A100">
        <f t="shared" si="5"/>
        <v>1.1880000000000008</v>
      </c>
      <c r="B100">
        <v>0.46032000000000001</v>
      </c>
      <c r="C100">
        <v>175.91819799999999</v>
      </c>
      <c r="D100" s="1">
        <f t="shared" si="6"/>
        <v>0.13512107460000003</v>
      </c>
      <c r="G100">
        <f t="shared" si="8"/>
        <v>1.0560000000000007</v>
      </c>
      <c r="H100" s="1">
        <f t="shared" si="7"/>
        <v>14.496282199999978</v>
      </c>
    </row>
    <row r="101" spans="1:8" x14ac:dyDescent="0.35">
      <c r="A101">
        <f t="shared" si="5"/>
        <v>1.2000000000000008</v>
      </c>
      <c r="B101">
        <v>0.48064000000000001</v>
      </c>
      <c r="C101">
        <v>183.68377699999999</v>
      </c>
      <c r="D101" s="1">
        <f t="shared" si="6"/>
        <v>0.14363310240000035</v>
      </c>
      <c r="G101">
        <f t="shared" si="8"/>
        <v>1.0680000000000007</v>
      </c>
      <c r="H101" s="1">
        <f t="shared" si="7"/>
        <v>13.964304749999968</v>
      </c>
    </row>
    <row r="102" spans="1:8" x14ac:dyDescent="0.35">
      <c r="A102">
        <f t="shared" si="5"/>
        <v>1.2120000000000009</v>
      </c>
      <c r="B102">
        <v>0.50224000000000002</v>
      </c>
      <c r="C102">
        <v>191.93855300000001</v>
      </c>
      <c r="D102" s="1">
        <f t="shared" si="6"/>
        <v>0.15267638699999958</v>
      </c>
      <c r="G102">
        <f t="shared" si="8"/>
        <v>1.0800000000000007</v>
      </c>
      <c r="H102" s="1">
        <f t="shared" si="7"/>
        <v>14.496282199999978</v>
      </c>
    </row>
    <row r="103" spans="1:8" x14ac:dyDescent="0.35">
      <c r="A103">
        <f t="shared" si="5"/>
        <v>1.2240000000000009</v>
      </c>
      <c r="B103">
        <v>0.5252</v>
      </c>
      <c r="C103">
        <v>200.71305799999999</v>
      </c>
      <c r="D103" s="1">
        <f t="shared" si="6"/>
        <v>0.15640035240000011</v>
      </c>
      <c r="G103">
        <f t="shared" si="8"/>
        <v>1.0920000000000007</v>
      </c>
      <c r="H103" s="1">
        <f t="shared" si="7"/>
        <v>14.451922350000004</v>
      </c>
    </row>
    <row r="104" spans="1:8" x14ac:dyDescent="0.35">
      <c r="A104">
        <f t="shared" si="5"/>
        <v>1.2360000000000009</v>
      </c>
      <c r="B104">
        <v>0.54871999999999999</v>
      </c>
      <c r="C104">
        <v>209.701584</v>
      </c>
      <c r="D104" s="1">
        <f t="shared" si="6"/>
        <v>0.15799628040000027</v>
      </c>
      <c r="G104">
        <f t="shared" si="8"/>
        <v>1.1040000000000008</v>
      </c>
      <c r="H104" s="1">
        <f t="shared" si="7"/>
        <v>14.230314499999981</v>
      </c>
    </row>
    <row r="105" spans="1:8" x14ac:dyDescent="0.35">
      <c r="A105">
        <f t="shared" si="5"/>
        <v>1.2480000000000009</v>
      </c>
      <c r="B105">
        <v>0.57247999999999999</v>
      </c>
      <c r="C105">
        <v>218.78183000000001</v>
      </c>
      <c r="D105" s="1">
        <f t="shared" si="6"/>
        <v>0.17289125459999971</v>
      </c>
      <c r="G105">
        <f t="shared" si="8"/>
        <v>1.1160000000000008</v>
      </c>
      <c r="H105" s="1">
        <f t="shared" si="7"/>
        <v>14.45194409999999</v>
      </c>
    </row>
    <row r="106" spans="1:8" x14ac:dyDescent="0.35">
      <c r="A106">
        <f t="shared" si="5"/>
        <v>1.2600000000000009</v>
      </c>
      <c r="B106">
        <v>0.59848000000000001</v>
      </c>
      <c r="C106">
        <v>228.718109</v>
      </c>
      <c r="D106" s="1">
        <f t="shared" si="6"/>
        <v>0.16544363699999984</v>
      </c>
      <c r="G106">
        <f t="shared" si="8"/>
        <v>1.1280000000000008</v>
      </c>
      <c r="H106" s="1">
        <f t="shared" si="7"/>
        <v>14.230294200000031</v>
      </c>
    </row>
    <row r="107" spans="1:8" x14ac:dyDescent="0.35">
      <c r="A107">
        <f t="shared" si="5"/>
        <v>1.2720000000000009</v>
      </c>
      <c r="B107">
        <v>0.62336000000000003</v>
      </c>
      <c r="C107">
        <v>238.22636399999999</v>
      </c>
      <c r="D107" s="1">
        <f t="shared" si="6"/>
        <v>0.16544389800000017</v>
      </c>
      <c r="G107">
        <f t="shared" si="8"/>
        <v>1.1400000000000008</v>
      </c>
      <c r="H107" s="1">
        <f t="shared" si="7"/>
        <v>14.008641399999917</v>
      </c>
    </row>
    <row r="108" spans="1:8" x14ac:dyDescent="0.35">
      <c r="A108">
        <f t="shared" si="5"/>
        <v>1.2840000000000009</v>
      </c>
      <c r="B108">
        <v>0.64824000000000004</v>
      </c>
      <c r="C108">
        <v>247.734634</v>
      </c>
      <c r="D108" s="1">
        <f t="shared" si="6"/>
        <v>0.16650778620000042</v>
      </c>
      <c r="G108">
        <f t="shared" si="8"/>
        <v>1.1520000000000008</v>
      </c>
      <c r="H108" s="1">
        <f t="shared" si="7"/>
        <v>13.920010149999994</v>
      </c>
    </row>
    <row r="109" spans="1:8" x14ac:dyDescent="0.35">
      <c r="A109">
        <f t="shared" si="5"/>
        <v>1.2960000000000009</v>
      </c>
      <c r="B109">
        <v>0.67327999999999999</v>
      </c>
      <c r="C109">
        <v>257.30404700000003</v>
      </c>
      <c r="D109" s="1">
        <f t="shared" si="6"/>
        <v>0.16331561699999941</v>
      </c>
      <c r="G109">
        <f t="shared" si="8"/>
        <v>1.1640000000000008</v>
      </c>
      <c r="H109" s="1">
        <f t="shared" si="7"/>
        <v>15.781847849999968</v>
      </c>
    </row>
    <row r="110" spans="1:8" x14ac:dyDescent="0.35">
      <c r="A110">
        <f t="shared" si="5"/>
        <v>1.3080000000000009</v>
      </c>
      <c r="B110">
        <v>0.69784000000000002</v>
      </c>
      <c r="C110">
        <v>266.69000199999999</v>
      </c>
      <c r="D110" s="1">
        <f t="shared" si="6"/>
        <v>0.16810371420000011</v>
      </c>
      <c r="G110">
        <f t="shared" si="8"/>
        <v>1.1760000000000008</v>
      </c>
      <c r="H110" s="1">
        <f t="shared" si="7"/>
        <v>13.653974300000005</v>
      </c>
    </row>
    <row r="111" spans="1:8" x14ac:dyDescent="0.35">
      <c r="A111">
        <f t="shared" si="5"/>
        <v>1.320000000000001</v>
      </c>
      <c r="B111">
        <v>0.72311999999999999</v>
      </c>
      <c r="C111">
        <v>276.351135</v>
      </c>
      <c r="D111" s="1">
        <f t="shared" si="6"/>
        <v>0.16650804720000026</v>
      </c>
      <c r="G111">
        <f t="shared" si="8"/>
        <v>1.1880000000000008</v>
      </c>
      <c r="H111" s="1">
        <f t="shared" si="7"/>
        <v>14.097320499999968</v>
      </c>
    </row>
    <row r="112" spans="1:8" x14ac:dyDescent="0.35">
      <c r="A112">
        <f t="shared" si="5"/>
        <v>1.332000000000001</v>
      </c>
      <c r="B112">
        <v>0.74816000000000005</v>
      </c>
      <c r="C112">
        <v>285.92056300000002</v>
      </c>
      <c r="D112" s="1">
        <f t="shared" si="6"/>
        <v>0.16331563439999938</v>
      </c>
      <c r="G112">
        <f t="shared" si="8"/>
        <v>1.2000000000000008</v>
      </c>
      <c r="H112" s="1">
        <f t="shared" si="7"/>
        <v>14.052982400000063</v>
      </c>
    </row>
    <row r="113" spans="1:8" x14ac:dyDescent="0.35">
      <c r="A113">
        <f t="shared" si="5"/>
        <v>1.344000000000001</v>
      </c>
      <c r="B113">
        <v>0.77271999999999996</v>
      </c>
      <c r="C113">
        <v>295.30651899999998</v>
      </c>
      <c r="D113" s="1">
        <f t="shared" si="6"/>
        <v>0.16544389800000067</v>
      </c>
      <c r="G113">
        <f t="shared" si="8"/>
        <v>1.2120000000000009</v>
      </c>
      <c r="H113" s="1">
        <f t="shared" si="7"/>
        <v>14.097275549999917</v>
      </c>
    </row>
    <row r="114" spans="1:8" x14ac:dyDescent="0.35">
      <c r="A114">
        <f t="shared" si="5"/>
        <v>1.356000000000001</v>
      </c>
      <c r="B114">
        <v>0.79759999999999998</v>
      </c>
      <c r="C114">
        <v>304.81478900000002</v>
      </c>
      <c r="D114" s="1">
        <f t="shared" si="6"/>
        <v>0.16384823099999984</v>
      </c>
      <c r="G114">
        <f t="shared" si="8"/>
        <v>1.2240000000000009</v>
      </c>
      <c r="H114" s="1">
        <f t="shared" si="7"/>
        <v>13.87567060000001</v>
      </c>
    </row>
    <row r="115" spans="1:8" x14ac:dyDescent="0.35">
      <c r="A115">
        <f t="shared" si="5"/>
        <v>1.368000000000001</v>
      </c>
      <c r="B115">
        <v>0.82223999999999997</v>
      </c>
      <c r="C115">
        <v>314.23135400000001</v>
      </c>
      <c r="D115" s="1">
        <f t="shared" si="6"/>
        <v>0.16225202459999938</v>
      </c>
      <c r="G115">
        <f t="shared" si="8"/>
        <v>1.2360000000000009</v>
      </c>
      <c r="H115" s="1">
        <f t="shared" si="7"/>
        <v>-204.94286224999976</v>
      </c>
    </row>
    <row r="116" spans="1:8" x14ac:dyDescent="0.35">
      <c r="A116">
        <f t="shared" si="5"/>
        <v>1.380000000000001</v>
      </c>
      <c r="B116">
        <v>0.84663999999999995</v>
      </c>
      <c r="C116">
        <v>323.55618299999998</v>
      </c>
      <c r="D116" s="1">
        <f t="shared" si="6"/>
        <v>0.16650802980000032</v>
      </c>
      <c r="G116">
        <f t="shared" si="8"/>
        <v>1.2480000000000009</v>
      </c>
      <c r="H116" s="1">
        <f t="shared" si="7"/>
        <v>-287.93074994999978</v>
      </c>
    </row>
    <row r="117" spans="1:8" x14ac:dyDescent="0.35">
      <c r="A117">
        <f t="shared" si="5"/>
        <v>1.392000000000001</v>
      </c>
      <c r="B117">
        <v>0.87168000000000001</v>
      </c>
      <c r="C117">
        <v>333.12560999999999</v>
      </c>
      <c r="D117" s="1">
        <f t="shared" si="6"/>
        <v>0.1659754505999998</v>
      </c>
      <c r="G117">
        <f t="shared" si="8"/>
        <v>1.2600000000000009</v>
      </c>
      <c r="H117" s="1">
        <f t="shared" si="7"/>
        <v>14.451948449999984</v>
      </c>
    </row>
    <row r="118" spans="1:8" x14ac:dyDescent="0.35">
      <c r="A118">
        <f t="shared" si="5"/>
        <v>1.404000000000001</v>
      </c>
      <c r="B118">
        <v>0.89663999999999999</v>
      </c>
      <c r="C118">
        <v>342.66442899999998</v>
      </c>
      <c r="D118" s="1">
        <f t="shared" si="6"/>
        <v>0.16544389800000067</v>
      </c>
      <c r="G118">
        <f t="shared" si="8"/>
        <v>1.2720000000000009</v>
      </c>
      <c r="H118" s="1">
        <f t="shared" si="7"/>
        <v>14.584948249999991</v>
      </c>
    </row>
    <row r="119" spans="1:8" x14ac:dyDescent="0.35">
      <c r="A119">
        <f t="shared" si="5"/>
        <v>1.416000000000001</v>
      </c>
      <c r="B119">
        <v>0.92152000000000001</v>
      </c>
      <c r="C119">
        <v>352.17269900000002</v>
      </c>
      <c r="D119" s="1">
        <f t="shared" si="6"/>
        <v>0.165443376</v>
      </c>
      <c r="G119">
        <f t="shared" si="8"/>
        <v>1.2840000000000009</v>
      </c>
      <c r="H119" s="1">
        <f t="shared" si="7"/>
        <v>14.185958999999986</v>
      </c>
    </row>
    <row r="120" spans="1:8" x14ac:dyDescent="0.35">
      <c r="A120">
        <f t="shared" si="5"/>
        <v>1.428000000000001</v>
      </c>
      <c r="B120">
        <v>0.94640000000000002</v>
      </c>
      <c r="C120">
        <v>361.68093900000002</v>
      </c>
      <c r="D120" s="1">
        <f t="shared" si="6"/>
        <v>-2.1103391640000004</v>
      </c>
      <c r="G120">
        <f t="shared" si="8"/>
        <v>1.2960000000000009</v>
      </c>
      <c r="H120" s="1">
        <f t="shared" si="7"/>
        <v>14.496287999999984</v>
      </c>
    </row>
    <row r="121" spans="1:8" x14ac:dyDescent="0.35">
      <c r="A121">
        <f t="shared" si="5"/>
        <v>1.4400000000000011</v>
      </c>
      <c r="B121">
        <v>0.62904000000000004</v>
      </c>
      <c r="C121">
        <v>240.39707899999999</v>
      </c>
      <c r="D121" s="1">
        <f t="shared" si="6"/>
        <v>-3.8158473179999999</v>
      </c>
      <c r="G121">
        <f t="shared" si="8"/>
        <v>1.3080000000000009</v>
      </c>
      <c r="H121" s="1">
        <f t="shared" si="7"/>
        <v>14.318960249999991</v>
      </c>
    </row>
    <row r="122" spans="1:8" x14ac:dyDescent="0.35">
      <c r="A122">
        <f t="shared" si="5"/>
        <v>1.4520000000000011</v>
      </c>
      <c r="B122">
        <v>5.5199999999999999E-2</v>
      </c>
      <c r="C122">
        <v>21.095509</v>
      </c>
      <c r="D122" s="1">
        <f t="shared" si="6"/>
        <v>0.1686356322</v>
      </c>
      <c r="G122">
        <f t="shared" si="8"/>
        <v>1.320000000000001</v>
      </c>
      <c r="H122" s="1">
        <f t="shared" si="7"/>
        <v>14.762261499999983</v>
      </c>
    </row>
    <row r="123" spans="1:8" x14ac:dyDescent="0.35">
      <c r="A123">
        <f t="shared" si="5"/>
        <v>1.4640000000000011</v>
      </c>
      <c r="B123">
        <v>8.0560000000000007E-2</v>
      </c>
      <c r="C123">
        <v>30.787212</v>
      </c>
      <c r="D123" s="1">
        <f t="shared" si="6"/>
        <v>0.16544384579999999</v>
      </c>
      <c r="G123">
        <f t="shared" si="8"/>
        <v>1.332000000000001</v>
      </c>
      <c r="H123" s="1">
        <f t="shared" si="7"/>
        <v>14.363288199999982</v>
      </c>
    </row>
    <row r="124" spans="1:8" x14ac:dyDescent="0.35">
      <c r="A124">
        <f t="shared" si="5"/>
        <v>1.4760000000000011</v>
      </c>
      <c r="B124">
        <v>0.10544000000000001</v>
      </c>
      <c r="C124">
        <v>40.295479</v>
      </c>
      <c r="D124" s="1">
        <f t="shared" si="6"/>
        <v>0.16810371419999998</v>
      </c>
      <c r="G124">
        <f t="shared" si="8"/>
        <v>1.344000000000001</v>
      </c>
      <c r="H124" s="1">
        <f t="shared" si="7"/>
        <v>14.274632299999977</v>
      </c>
    </row>
    <row r="125" spans="1:8" x14ac:dyDescent="0.35">
      <c r="A125">
        <f t="shared" si="5"/>
        <v>1.4880000000000011</v>
      </c>
      <c r="B125">
        <v>0.13072</v>
      </c>
      <c r="C125">
        <v>49.956612</v>
      </c>
      <c r="D125" s="1">
        <f t="shared" si="6"/>
        <v>0.16171988040000002</v>
      </c>
      <c r="G125">
        <f t="shared" si="8"/>
        <v>1.356000000000001</v>
      </c>
      <c r="H125" s="1">
        <f t="shared" si="7"/>
        <v>14.230304349999985</v>
      </c>
    </row>
    <row r="126" spans="1:8" x14ac:dyDescent="0.35">
      <c r="A126">
        <f t="shared" si="5"/>
        <v>1.5000000000000011</v>
      </c>
      <c r="B126">
        <v>0.15504000000000001</v>
      </c>
      <c r="C126">
        <v>59.250858000000001</v>
      </c>
      <c r="D126" s="1">
        <f t="shared" si="6"/>
        <v>0.16597590300000004</v>
      </c>
      <c r="G126">
        <f t="shared" si="8"/>
        <v>1.368000000000001</v>
      </c>
      <c r="H126" s="1">
        <f t="shared" si="7"/>
        <v>14.318950099999997</v>
      </c>
    </row>
    <row r="127" spans="1:8" x14ac:dyDescent="0.35">
      <c r="A127">
        <f t="shared" si="5"/>
        <v>1.5120000000000011</v>
      </c>
      <c r="B127">
        <v>0.18</v>
      </c>
      <c r="C127">
        <v>68.789703000000003</v>
      </c>
      <c r="D127" s="1">
        <f t="shared" si="6"/>
        <v>0.16703972159999986</v>
      </c>
      <c r="G127">
        <f t="shared" si="8"/>
        <v>1.380000000000001</v>
      </c>
      <c r="H127" s="1">
        <f t="shared" si="7"/>
        <v>14.230292749999974</v>
      </c>
    </row>
    <row r="128" spans="1:8" x14ac:dyDescent="0.35">
      <c r="A128">
        <f t="shared" si="5"/>
        <v>1.5240000000000011</v>
      </c>
      <c r="B128">
        <v>0.20512</v>
      </c>
      <c r="C128">
        <v>78.389686999999995</v>
      </c>
      <c r="D128" s="1">
        <f t="shared" si="6"/>
        <v>0.17129558760000013</v>
      </c>
      <c r="G128">
        <f t="shared" si="8"/>
        <v>1.392000000000001</v>
      </c>
      <c r="H128" s="1">
        <f t="shared" si="7"/>
        <v>14.318948649999978</v>
      </c>
    </row>
    <row r="129" spans="1:8" x14ac:dyDescent="0.35">
      <c r="A129">
        <f t="shared" si="5"/>
        <v>1.5360000000000011</v>
      </c>
      <c r="B129">
        <v>0.23088</v>
      </c>
      <c r="C129">
        <v>88.234261000000004</v>
      </c>
      <c r="D129" s="1">
        <f t="shared" si="6"/>
        <v>0.17874294419999995</v>
      </c>
      <c r="G129">
        <f t="shared" si="8"/>
        <v>1.404000000000001</v>
      </c>
      <c r="H129" s="1">
        <f t="shared" si="7"/>
        <v>14.141660049999992</v>
      </c>
    </row>
    <row r="130" spans="1:8" x14ac:dyDescent="0.35">
      <c r="A130">
        <f t="shared" si="5"/>
        <v>1.5480000000000012</v>
      </c>
      <c r="B130">
        <v>0.25775999999999999</v>
      </c>
      <c r="C130">
        <v>98.506844000000001</v>
      </c>
      <c r="D130" s="1">
        <f t="shared" si="6"/>
        <v>0.16278408179999998</v>
      </c>
      <c r="G130">
        <f t="shared" si="8"/>
        <v>1.416000000000001</v>
      </c>
      <c r="H130" s="1">
        <f t="shared" si="7"/>
        <v>14.318948649999978</v>
      </c>
    </row>
    <row r="131" spans="1:8" x14ac:dyDescent="0.35">
      <c r="A131">
        <f t="shared" si="5"/>
        <v>1.5600000000000012</v>
      </c>
      <c r="B131">
        <v>0.28223999999999999</v>
      </c>
      <c r="C131">
        <v>107.862251</v>
      </c>
      <c r="D131" s="1">
        <f t="shared" si="6"/>
        <v>0.16278383820000011</v>
      </c>
      <c r="G131">
        <f t="shared" si="8"/>
        <v>1.428000000000001</v>
      </c>
      <c r="H131" s="1">
        <f t="shared" si="7"/>
        <v>14.141638300000006</v>
      </c>
    </row>
    <row r="132" spans="1:8" x14ac:dyDescent="0.35">
      <c r="A132">
        <f t="shared" ref="A132:A195" si="9">A131+12*10^-3</f>
        <v>1.5720000000000012</v>
      </c>
      <c r="B132">
        <v>0.30671999999999999</v>
      </c>
      <c r="C132">
        <v>117.21764400000001</v>
      </c>
      <c r="D132" s="1">
        <f t="shared" ref="D132:D195" si="10">(C133-C132)*0.0174</f>
        <v>0.16810371419999987</v>
      </c>
      <c r="G132">
        <f t="shared" si="8"/>
        <v>1.4400000000000011</v>
      </c>
      <c r="H132" s="1">
        <f t="shared" si="7"/>
        <v>14.629277649999986</v>
      </c>
    </row>
    <row r="133" spans="1:8" x14ac:dyDescent="0.35">
      <c r="A133">
        <f t="shared" si="9"/>
        <v>1.5840000000000012</v>
      </c>
      <c r="B133">
        <v>0.33200000000000002</v>
      </c>
      <c r="C133">
        <v>126.878777</v>
      </c>
      <c r="D133" s="1">
        <f t="shared" si="10"/>
        <v>0.16597583340000008</v>
      </c>
      <c r="G133">
        <f t="shared" si="8"/>
        <v>1.4520000000000011</v>
      </c>
      <c r="H133" s="1">
        <f t="shared" ref="H133:H174" si="11">D212/(A133-A132)</f>
        <v>14.45194409999999</v>
      </c>
    </row>
    <row r="134" spans="1:8" x14ac:dyDescent="0.35">
      <c r="A134">
        <f t="shared" si="9"/>
        <v>1.5960000000000012</v>
      </c>
      <c r="B134">
        <v>0.35696</v>
      </c>
      <c r="C134">
        <v>136.417618</v>
      </c>
      <c r="D134" s="1">
        <f t="shared" si="10"/>
        <v>0.16597597259999997</v>
      </c>
      <c r="G134">
        <f t="shared" si="8"/>
        <v>1.4640000000000011</v>
      </c>
      <c r="H134" s="1">
        <f t="shared" si="11"/>
        <v>14.097320499999968</v>
      </c>
    </row>
    <row r="135" spans="1:8" x14ac:dyDescent="0.35">
      <c r="A135">
        <f t="shared" si="9"/>
        <v>1.6080000000000012</v>
      </c>
      <c r="B135">
        <v>0.38191999999999998</v>
      </c>
      <c r="C135">
        <v>145.956467</v>
      </c>
      <c r="D135" s="1">
        <f t="shared" si="10"/>
        <v>0.1686355104000001</v>
      </c>
      <c r="G135">
        <f t="shared" si="8"/>
        <v>1.4760000000000011</v>
      </c>
      <c r="H135" s="1">
        <f t="shared" si="11"/>
        <v>14.318948650000021</v>
      </c>
    </row>
    <row r="136" spans="1:8" x14ac:dyDescent="0.35">
      <c r="A136">
        <f t="shared" si="9"/>
        <v>1.6200000000000012</v>
      </c>
      <c r="B136">
        <v>0.40727999999999998</v>
      </c>
      <c r="C136">
        <v>155.64816300000001</v>
      </c>
      <c r="D136" s="1">
        <f t="shared" si="10"/>
        <v>0.16544363699999984</v>
      </c>
      <c r="G136">
        <f t="shared" si="8"/>
        <v>1.4880000000000011</v>
      </c>
      <c r="H136" s="1">
        <f t="shared" si="11"/>
        <v>14.27461054999995</v>
      </c>
    </row>
    <row r="137" spans="1:8" x14ac:dyDescent="0.35">
      <c r="A137">
        <f t="shared" si="9"/>
        <v>1.6320000000000012</v>
      </c>
      <c r="B137">
        <v>0.43215999999999999</v>
      </c>
      <c r="C137">
        <v>165.156418</v>
      </c>
      <c r="D137" s="1">
        <f t="shared" si="10"/>
        <v>0.16969964219999978</v>
      </c>
      <c r="G137">
        <f t="shared" si="8"/>
        <v>1.5000000000000011</v>
      </c>
      <c r="H137" s="1">
        <f t="shared" si="11"/>
        <v>14.496282200000017</v>
      </c>
    </row>
    <row r="138" spans="1:8" x14ac:dyDescent="0.35">
      <c r="A138">
        <f t="shared" si="9"/>
        <v>1.6440000000000012</v>
      </c>
      <c r="B138">
        <v>0.45767999999999998</v>
      </c>
      <c r="C138">
        <v>174.90927099999999</v>
      </c>
      <c r="D138" s="1">
        <f t="shared" si="10"/>
        <v>0.16969992060000005</v>
      </c>
      <c r="G138">
        <f t="shared" si="8"/>
        <v>1.5120000000000011</v>
      </c>
      <c r="H138" s="1">
        <f t="shared" si="11"/>
        <v>15.870570449999988</v>
      </c>
    </row>
    <row r="139" spans="1:8" x14ac:dyDescent="0.35">
      <c r="A139">
        <f t="shared" si="9"/>
        <v>1.6560000000000012</v>
      </c>
      <c r="B139">
        <v>0.48320000000000002</v>
      </c>
      <c r="C139">
        <v>184.66213999999999</v>
      </c>
      <c r="D139" s="1">
        <f t="shared" si="10"/>
        <v>0.17023145580000024</v>
      </c>
      <c r="G139">
        <f t="shared" si="8"/>
        <v>1.5240000000000011</v>
      </c>
      <c r="H139" s="1">
        <f t="shared" si="11"/>
        <v>14.806589449999956</v>
      </c>
    </row>
    <row r="140" spans="1:8" x14ac:dyDescent="0.35">
      <c r="A140">
        <f t="shared" si="9"/>
        <v>1.6680000000000013</v>
      </c>
      <c r="B140">
        <v>0.50880000000000003</v>
      </c>
      <c r="C140">
        <v>194.44555700000001</v>
      </c>
      <c r="D140" s="1">
        <f t="shared" si="10"/>
        <v>0.16597569419999969</v>
      </c>
      <c r="G140">
        <f t="shared" si="8"/>
        <v>1.5360000000000011</v>
      </c>
      <c r="H140" s="1">
        <f t="shared" si="11"/>
        <v>14.496305399999958</v>
      </c>
    </row>
    <row r="141" spans="1:8" x14ac:dyDescent="0.35">
      <c r="A141">
        <f t="shared" si="9"/>
        <v>1.6800000000000013</v>
      </c>
      <c r="B141">
        <v>0.53376000000000001</v>
      </c>
      <c r="C141">
        <v>203.98438999999999</v>
      </c>
      <c r="D141" s="1">
        <f t="shared" si="10"/>
        <v>0.16225202460000038</v>
      </c>
      <c r="G141">
        <f t="shared" si="8"/>
        <v>1.5480000000000012</v>
      </c>
      <c r="H141" s="1">
        <f t="shared" si="11"/>
        <v>14.274588800000046</v>
      </c>
    </row>
    <row r="142" spans="1:8" x14ac:dyDescent="0.35">
      <c r="A142">
        <f t="shared" si="9"/>
        <v>1.6920000000000013</v>
      </c>
      <c r="B142">
        <v>0.55815999999999999</v>
      </c>
      <c r="C142">
        <v>213.30921900000001</v>
      </c>
      <c r="D142" s="1">
        <f t="shared" si="10"/>
        <v>0.17448719999999984</v>
      </c>
      <c r="G142">
        <f t="shared" ref="G142:G174" si="12">A131</f>
        <v>1.5600000000000012</v>
      </c>
      <c r="H142" s="1">
        <f t="shared" si="11"/>
        <v>14.407604549999924</v>
      </c>
    </row>
    <row r="143" spans="1:8" x14ac:dyDescent="0.35">
      <c r="A143">
        <f t="shared" si="9"/>
        <v>1.7040000000000013</v>
      </c>
      <c r="B143">
        <v>0.58440000000000003</v>
      </c>
      <c r="C143">
        <v>223.337219</v>
      </c>
      <c r="D143" s="1">
        <f t="shared" si="10"/>
        <v>0.17023171680000007</v>
      </c>
      <c r="G143">
        <f t="shared" si="12"/>
        <v>1.5720000000000012</v>
      </c>
      <c r="H143" s="1">
        <f t="shared" si="11"/>
        <v>14.407649500000055</v>
      </c>
    </row>
    <row r="144" spans="1:8" x14ac:dyDescent="0.35">
      <c r="A144">
        <f t="shared" si="9"/>
        <v>1.7160000000000013</v>
      </c>
      <c r="B144">
        <v>0.61</v>
      </c>
      <c r="C144">
        <v>233.12065100000001</v>
      </c>
      <c r="D144" s="1">
        <f t="shared" si="10"/>
        <v>0.17235945839999972</v>
      </c>
      <c r="G144">
        <f t="shared" si="12"/>
        <v>1.5840000000000012</v>
      </c>
      <c r="H144" s="1">
        <f t="shared" si="11"/>
        <v>14.45194409999999</v>
      </c>
    </row>
    <row r="145" spans="1:8" x14ac:dyDescent="0.35">
      <c r="A145">
        <f t="shared" si="9"/>
        <v>1.7280000000000013</v>
      </c>
      <c r="B145">
        <v>0.63592000000000004</v>
      </c>
      <c r="C145">
        <v>243.02636699999999</v>
      </c>
      <c r="D145" s="1">
        <f t="shared" si="10"/>
        <v>0.17555133179999999</v>
      </c>
      <c r="G145">
        <f t="shared" si="12"/>
        <v>1.5960000000000012</v>
      </c>
      <c r="H145" s="1">
        <f t="shared" si="11"/>
        <v>14.008641399999917</v>
      </c>
    </row>
    <row r="146" spans="1:8" x14ac:dyDescent="0.35">
      <c r="A146">
        <f t="shared" si="9"/>
        <v>1.7400000000000013</v>
      </c>
      <c r="B146">
        <v>0.66232000000000002</v>
      </c>
      <c r="C146">
        <v>253.11552399999999</v>
      </c>
      <c r="D146" s="1">
        <f t="shared" si="10"/>
        <v>0.16969965960000022</v>
      </c>
      <c r="G146">
        <f t="shared" si="12"/>
        <v>1.6080000000000012</v>
      </c>
      <c r="H146" s="1">
        <f t="shared" si="11"/>
        <v>14.141616550000061</v>
      </c>
    </row>
    <row r="147" spans="1:8" x14ac:dyDescent="0.35">
      <c r="A147">
        <f t="shared" si="9"/>
        <v>1.7520000000000013</v>
      </c>
      <c r="B147">
        <v>0.68784000000000001</v>
      </c>
      <c r="C147">
        <v>262.86837800000001</v>
      </c>
      <c r="D147" s="1">
        <f t="shared" si="10"/>
        <v>0.17342332920000003</v>
      </c>
      <c r="G147">
        <f t="shared" si="12"/>
        <v>1.6200000000000012</v>
      </c>
      <c r="H147" s="1">
        <f t="shared" si="11"/>
        <v>14.053025899999952</v>
      </c>
    </row>
    <row r="148" spans="1:8" x14ac:dyDescent="0.35">
      <c r="A148">
        <f t="shared" si="9"/>
        <v>1.7640000000000013</v>
      </c>
      <c r="B148">
        <v>0.71392</v>
      </c>
      <c r="C148">
        <v>272.83523600000001</v>
      </c>
      <c r="D148" s="1">
        <f t="shared" si="10"/>
        <v>0.17289177659999988</v>
      </c>
      <c r="G148">
        <f t="shared" si="12"/>
        <v>1.6320000000000012</v>
      </c>
      <c r="H148" s="1">
        <f t="shared" si="11"/>
        <v>14.318926899999951</v>
      </c>
    </row>
    <row r="149" spans="1:8" x14ac:dyDescent="0.35">
      <c r="A149">
        <f t="shared" si="9"/>
        <v>1.7760000000000014</v>
      </c>
      <c r="B149">
        <v>0.73992000000000002</v>
      </c>
      <c r="C149">
        <v>282.771545</v>
      </c>
      <c r="D149" s="1">
        <f t="shared" si="10"/>
        <v>0.16491184079999982</v>
      </c>
      <c r="G149">
        <f t="shared" si="12"/>
        <v>1.6440000000000012</v>
      </c>
      <c r="H149" s="1">
        <f t="shared" si="11"/>
        <v>14.407604550000006</v>
      </c>
    </row>
    <row r="150" spans="1:8" x14ac:dyDescent="0.35">
      <c r="A150">
        <f t="shared" si="9"/>
        <v>1.7880000000000014</v>
      </c>
      <c r="B150">
        <v>0.76471999999999996</v>
      </c>
      <c r="C150">
        <v>292.24923699999999</v>
      </c>
      <c r="D150" s="1">
        <f t="shared" si="10"/>
        <v>0.16757111759999962</v>
      </c>
      <c r="G150">
        <f t="shared" si="12"/>
        <v>1.6560000000000012</v>
      </c>
      <c r="H150" s="1">
        <f t="shared" si="11"/>
        <v>14.141660050000034</v>
      </c>
    </row>
    <row r="151" spans="1:8" x14ac:dyDescent="0.35">
      <c r="A151">
        <f t="shared" si="9"/>
        <v>1.8000000000000014</v>
      </c>
      <c r="B151">
        <v>0.78991999999999996</v>
      </c>
      <c r="C151">
        <v>301.87976099999997</v>
      </c>
      <c r="D151" s="1">
        <f t="shared" si="10"/>
        <v>0.16438028820000067</v>
      </c>
      <c r="G151">
        <f t="shared" si="12"/>
        <v>1.6680000000000013</v>
      </c>
      <c r="H151" s="1">
        <f t="shared" si="11"/>
        <v>-18.929431000000058</v>
      </c>
    </row>
    <row r="152" spans="1:8" x14ac:dyDescent="0.35">
      <c r="A152">
        <f t="shared" si="9"/>
        <v>1.8120000000000014</v>
      </c>
      <c r="B152">
        <v>0.81464000000000003</v>
      </c>
      <c r="C152">
        <v>311.32690400000001</v>
      </c>
      <c r="D152" s="1">
        <f t="shared" si="10"/>
        <v>0.17076353039999956</v>
      </c>
      <c r="G152">
        <f t="shared" si="12"/>
        <v>1.6800000000000013</v>
      </c>
      <c r="H152" s="1">
        <f t="shared" si="11"/>
        <v>-473.94419569999951</v>
      </c>
    </row>
    <row r="153" spans="1:8" x14ac:dyDescent="0.35">
      <c r="A153">
        <f t="shared" si="9"/>
        <v>1.8240000000000014</v>
      </c>
      <c r="B153">
        <v>0.84031999999999996</v>
      </c>
      <c r="C153">
        <v>321.14089999999999</v>
      </c>
      <c r="D153" s="1">
        <f t="shared" si="10"/>
        <v>0.16171995000000058</v>
      </c>
      <c r="G153">
        <f t="shared" si="12"/>
        <v>1.6920000000000013</v>
      </c>
      <c r="H153" s="1">
        <f t="shared" si="11"/>
        <v>14.274629399999984</v>
      </c>
    </row>
    <row r="154" spans="1:8" x14ac:dyDescent="0.35">
      <c r="A154">
        <f t="shared" si="9"/>
        <v>1.8360000000000014</v>
      </c>
      <c r="B154">
        <v>0.86463999999999996</v>
      </c>
      <c r="C154">
        <v>330.43515000000002</v>
      </c>
      <c r="D154" s="1">
        <f t="shared" si="10"/>
        <v>0.17076353039999956</v>
      </c>
      <c r="G154">
        <f t="shared" si="12"/>
        <v>1.7040000000000013</v>
      </c>
      <c r="H154" s="1">
        <f t="shared" si="11"/>
        <v>14.363285299999982</v>
      </c>
    </row>
    <row r="155" spans="1:8" x14ac:dyDescent="0.35">
      <c r="A155">
        <f t="shared" si="9"/>
        <v>1.8480000000000014</v>
      </c>
      <c r="B155">
        <v>0.89032</v>
      </c>
      <c r="C155">
        <v>340.249146</v>
      </c>
      <c r="D155" s="1">
        <f t="shared" si="10"/>
        <v>0.16969990319999961</v>
      </c>
      <c r="G155">
        <f t="shared" si="12"/>
        <v>1.7160000000000013</v>
      </c>
      <c r="H155" s="1">
        <f t="shared" si="11"/>
        <v>14.407627749999989</v>
      </c>
    </row>
    <row r="156" spans="1:8" x14ac:dyDescent="0.35">
      <c r="A156">
        <f t="shared" si="9"/>
        <v>1.8600000000000014</v>
      </c>
      <c r="B156">
        <v>0.91583999999999999</v>
      </c>
      <c r="C156">
        <v>350.00201399999997</v>
      </c>
      <c r="D156" s="1">
        <f t="shared" si="10"/>
        <v>0.16863524940000027</v>
      </c>
      <c r="G156">
        <f t="shared" si="12"/>
        <v>1.7280000000000013</v>
      </c>
      <c r="H156" s="1">
        <f t="shared" si="11"/>
        <v>14.097297299999983</v>
      </c>
    </row>
    <row r="157" spans="1:8" x14ac:dyDescent="0.35">
      <c r="A157">
        <f t="shared" si="9"/>
        <v>1.8720000000000014</v>
      </c>
      <c r="B157">
        <v>0.94120000000000004</v>
      </c>
      <c r="C157">
        <v>359.69369499999999</v>
      </c>
      <c r="D157" s="1">
        <f t="shared" si="10"/>
        <v>-0.54048483779999978</v>
      </c>
      <c r="G157">
        <f t="shared" si="12"/>
        <v>1.7400000000000013</v>
      </c>
      <c r="H157" s="1">
        <f t="shared" si="11"/>
        <v>14.185966249999998</v>
      </c>
    </row>
    <row r="158" spans="1:8" x14ac:dyDescent="0.35">
      <c r="A158">
        <f t="shared" si="9"/>
        <v>1.8840000000000015</v>
      </c>
      <c r="B158">
        <v>0.85992000000000002</v>
      </c>
      <c r="C158">
        <v>328.631348</v>
      </c>
      <c r="D158" s="1">
        <f t="shared" si="10"/>
        <v>-5.3585712683999995</v>
      </c>
      <c r="G158">
        <f t="shared" si="12"/>
        <v>1.7520000000000013</v>
      </c>
      <c r="H158" s="1">
        <f t="shared" si="11"/>
        <v>14.717943699999987</v>
      </c>
    </row>
    <row r="159" spans="1:8" x14ac:dyDescent="0.35">
      <c r="A159">
        <f t="shared" si="9"/>
        <v>1.8960000000000015</v>
      </c>
      <c r="B159">
        <v>5.4080000000000003E-2</v>
      </c>
      <c r="C159">
        <v>20.667482</v>
      </c>
      <c r="D159" s="1">
        <f t="shared" si="10"/>
        <v>0.17289149819999997</v>
      </c>
      <c r="G159">
        <f t="shared" si="12"/>
        <v>1.7640000000000013</v>
      </c>
      <c r="H159" s="1">
        <f t="shared" si="11"/>
        <v>14.363278049999968</v>
      </c>
    </row>
    <row r="160" spans="1:8" x14ac:dyDescent="0.35">
      <c r="A160">
        <f t="shared" si="9"/>
        <v>1.9080000000000015</v>
      </c>
      <c r="B160">
        <v>8.0079999999999998E-2</v>
      </c>
      <c r="C160">
        <v>30.603774999999999</v>
      </c>
      <c r="D160" s="1">
        <f t="shared" si="10"/>
        <v>0.16969959000000004</v>
      </c>
      <c r="G160">
        <f t="shared" si="12"/>
        <v>1.7760000000000014</v>
      </c>
      <c r="H160" s="1">
        <f t="shared" si="11"/>
        <v>14.274632299999999</v>
      </c>
    </row>
    <row r="161" spans="1:8" x14ac:dyDescent="0.35">
      <c r="A161">
        <f t="shared" si="9"/>
        <v>1.9200000000000015</v>
      </c>
      <c r="B161">
        <v>0.1056</v>
      </c>
      <c r="C161">
        <v>40.356625000000001</v>
      </c>
      <c r="D161" s="1">
        <f t="shared" si="10"/>
        <v>0.16597576380000001</v>
      </c>
      <c r="G161">
        <f t="shared" si="12"/>
        <v>1.7880000000000014</v>
      </c>
      <c r="H161" s="1">
        <f t="shared" si="11"/>
        <v>14.230292749999974</v>
      </c>
    </row>
    <row r="162" spans="1:8" x14ac:dyDescent="0.35">
      <c r="A162">
        <f t="shared" si="9"/>
        <v>1.9320000000000015</v>
      </c>
      <c r="B162">
        <v>0.13056000000000001</v>
      </c>
      <c r="C162">
        <v>49.895462000000002</v>
      </c>
      <c r="D162" s="1">
        <f t="shared" si="10"/>
        <v>0.16437983579999996</v>
      </c>
      <c r="G162">
        <f t="shared" si="12"/>
        <v>1.8000000000000014</v>
      </c>
      <c r="H162" s="1">
        <f t="shared" si="11"/>
        <v>14.14163684999999</v>
      </c>
    </row>
    <row r="163" spans="1:8" x14ac:dyDescent="0.35">
      <c r="A163">
        <f t="shared" si="9"/>
        <v>1.9440000000000015</v>
      </c>
      <c r="B163">
        <v>0.15528</v>
      </c>
      <c r="C163">
        <v>59.342579000000001</v>
      </c>
      <c r="D163" s="1">
        <f t="shared" si="10"/>
        <v>0.16437995760000002</v>
      </c>
      <c r="G163">
        <f t="shared" si="12"/>
        <v>1.8120000000000014</v>
      </c>
      <c r="H163" s="1">
        <f t="shared" si="11"/>
        <v>14.230294199999991</v>
      </c>
    </row>
    <row r="164" spans="1:8" x14ac:dyDescent="0.35">
      <c r="A164">
        <f t="shared" si="9"/>
        <v>1.9560000000000015</v>
      </c>
      <c r="B164">
        <v>0.18</v>
      </c>
      <c r="C164">
        <v>68.789703000000003</v>
      </c>
      <c r="D164" s="1">
        <f t="shared" si="10"/>
        <v>0.16278396000000003</v>
      </c>
      <c r="G164">
        <f t="shared" si="12"/>
        <v>1.8240000000000014</v>
      </c>
      <c r="H164" s="1">
        <f t="shared" si="11"/>
        <v>14.008642849999998</v>
      </c>
    </row>
    <row r="165" spans="1:8" x14ac:dyDescent="0.35">
      <c r="A165">
        <f t="shared" si="9"/>
        <v>1.9680000000000015</v>
      </c>
      <c r="B165">
        <v>0.20448</v>
      </c>
      <c r="C165">
        <v>78.145103000000006</v>
      </c>
      <c r="D165" s="1">
        <f t="shared" si="10"/>
        <v>0.16650764699999979</v>
      </c>
      <c r="G165">
        <f t="shared" si="12"/>
        <v>1.8360000000000014</v>
      </c>
      <c r="H165" s="1">
        <f t="shared" si="11"/>
        <v>14.451965849999976</v>
      </c>
    </row>
    <row r="166" spans="1:8" x14ac:dyDescent="0.35">
      <c r="A166">
        <f t="shared" si="9"/>
        <v>1.9800000000000015</v>
      </c>
      <c r="B166">
        <v>0.22952</v>
      </c>
      <c r="C166">
        <v>87.714507999999995</v>
      </c>
      <c r="D166" s="1">
        <f t="shared" si="10"/>
        <v>0.16597583340000008</v>
      </c>
      <c r="G166">
        <f t="shared" si="12"/>
        <v>1.8480000000000014</v>
      </c>
      <c r="H166" s="1">
        <f t="shared" si="11"/>
        <v>13.742651949999978</v>
      </c>
    </row>
    <row r="167" spans="1:8" x14ac:dyDescent="0.35">
      <c r="A167">
        <f t="shared" si="9"/>
        <v>1.9920000000000015</v>
      </c>
      <c r="B167">
        <v>0.25447999999999998</v>
      </c>
      <c r="C167">
        <v>97.253349</v>
      </c>
      <c r="D167" s="1">
        <f t="shared" si="10"/>
        <v>0.16757177879999996</v>
      </c>
      <c r="G167">
        <f t="shared" si="12"/>
        <v>1.8600000000000014</v>
      </c>
      <c r="H167" s="1">
        <f t="shared" si="11"/>
        <v>15.20557434999999</v>
      </c>
    </row>
    <row r="168" spans="1:8" x14ac:dyDescent="0.35">
      <c r="A168">
        <f t="shared" si="9"/>
        <v>2.0040000000000013</v>
      </c>
      <c r="B168">
        <v>0.27967999999999998</v>
      </c>
      <c r="C168">
        <v>106.883911</v>
      </c>
      <c r="D168" s="1">
        <f t="shared" si="10"/>
        <v>0.16863564960000002</v>
      </c>
      <c r="G168">
        <f t="shared" si="12"/>
        <v>1.8720000000000014</v>
      </c>
      <c r="H168" s="1">
        <f t="shared" si="11"/>
        <v>14.141615100000244</v>
      </c>
    </row>
    <row r="169" spans="1:8" x14ac:dyDescent="0.35">
      <c r="A169">
        <f t="shared" si="9"/>
        <v>2.0160000000000013</v>
      </c>
      <c r="B169">
        <v>0.30503999999999998</v>
      </c>
      <c r="C169">
        <v>116.575615</v>
      </c>
      <c r="D169" s="1">
        <f t="shared" si="10"/>
        <v>0.16650776879999998</v>
      </c>
      <c r="G169">
        <f t="shared" si="12"/>
        <v>1.8840000000000015</v>
      </c>
      <c r="H169" s="1">
        <f t="shared" si="11"/>
        <v>14.185976399999994</v>
      </c>
    </row>
    <row r="170" spans="1:8" x14ac:dyDescent="0.35">
      <c r="A170">
        <f t="shared" si="9"/>
        <v>2.0280000000000014</v>
      </c>
      <c r="B170">
        <v>0.33007999999999998</v>
      </c>
      <c r="C170">
        <v>126.145027</v>
      </c>
      <c r="D170" s="1">
        <f t="shared" si="10"/>
        <v>0.17129546580000019</v>
      </c>
      <c r="G170">
        <f t="shared" si="12"/>
        <v>1.8960000000000015</v>
      </c>
      <c r="H170" s="1">
        <f t="shared" si="11"/>
        <v>14.318950099999975</v>
      </c>
    </row>
    <row r="171" spans="1:8" x14ac:dyDescent="0.35">
      <c r="A171">
        <f t="shared" si="9"/>
        <v>2.0400000000000014</v>
      </c>
      <c r="B171">
        <v>0.35583999999999999</v>
      </c>
      <c r="C171">
        <v>135.98959400000001</v>
      </c>
      <c r="D171" s="1">
        <f t="shared" si="10"/>
        <v>0.17182764479999973</v>
      </c>
      <c r="G171">
        <f t="shared" si="12"/>
        <v>1.9080000000000015</v>
      </c>
      <c r="H171" s="1">
        <f t="shared" si="11"/>
        <v>14.318948650000021</v>
      </c>
    </row>
    <row r="172" spans="1:8" x14ac:dyDescent="0.35">
      <c r="A172">
        <f t="shared" si="9"/>
        <v>2.0520000000000014</v>
      </c>
      <c r="B172">
        <v>0.38168000000000002</v>
      </c>
      <c r="C172">
        <v>145.864746</v>
      </c>
      <c r="D172" s="1">
        <f t="shared" si="10"/>
        <v>0.16969938119999994</v>
      </c>
      <c r="G172">
        <f t="shared" si="12"/>
        <v>1.9200000000000015</v>
      </c>
      <c r="H172" s="1">
        <f t="shared" si="11"/>
        <v>13.742653399999973</v>
      </c>
    </row>
    <row r="173" spans="1:8" x14ac:dyDescent="0.35">
      <c r="A173">
        <f t="shared" si="9"/>
        <v>2.0640000000000014</v>
      </c>
      <c r="B173">
        <v>0.40720000000000001</v>
      </c>
      <c r="C173">
        <v>155.61758399999999</v>
      </c>
      <c r="D173" s="1">
        <f t="shared" si="10"/>
        <v>0.16491210180000015</v>
      </c>
      <c r="G173">
        <f t="shared" si="12"/>
        <v>1.9320000000000015</v>
      </c>
      <c r="H173" s="1">
        <f t="shared" si="11"/>
        <v>14.584983049999972</v>
      </c>
    </row>
    <row r="174" spans="1:8" x14ac:dyDescent="0.35">
      <c r="A174">
        <f t="shared" si="9"/>
        <v>2.0760000000000014</v>
      </c>
      <c r="B174">
        <v>0.432</v>
      </c>
      <c r="C174">
        <v>165.095291</v>
      </c>
      <c r="D174" s="1">
        <f t="shared" si="10"/>
        <v>0.17608314539999997</v>
      </c>
      <c r="G174">
        <f t="shared" si="12"/>
        <v>1.9440000000000015</v>
      </c>
      <c r="H174" s="1">
        <f t="shared" si="11"/>
        <v>-327.25249519999966</v>
      </c>
    </row>
    <row r="175" spans="1:8" x14ac:dyDescent="0.35">
      <c r="A175">
        <f t="shared" si="9"/>
        <v>2.0880000000000014</v>
      </c>
      <c r="B175">
        <v>0.45848</v>
      </c>
      <c r="C175">
        <v>175.215012</v>
      </c>
      <c r="D175" s="1">
        <f t="shared" si="10"/>
        <v>0.16757163959999979</v>
      </c>
      <c r="H175" s="1"/>
    </row>
    <row r="176" spans="1:8" x14ac:dyDescent="0.35">
      <c r="A176">
        <f t="shared" si="9"/>
        <v>2.1000000000000014</v>
      </c>
      <c r="B176">
        <v>0.48368</v>
      </c>
      <c r="C176">
        <v>184.84556599999999</v>
      </c>
      <c r="D176" s="1">
        <f t="shared" si="10"/>
        <v>0.16969938119999994</v>
      </c>
      <c r="H176" s="1"/>
    </row>
    <row r="177" spans="1:8" x14ac:dyDescent="0.35">
      <c r="A177">
        <f t="shared" si="9"/>
        <v>2.1120000000000014</v>
      </c>
      <c r="B177">
        <v>0.50919999999999999</v>
      </c>
      <c r="C177">
        <v>194.59840399999999</v>
      </c>
      <c r="D177" s="1">
        <f t="shared" si="10"/>
        <v>0.16757190060000013</v>
      </c>
      <c r="H177" s="1"/>
    </row>
    <row r="178" spans="1:8" x14ac:dyDescent="0.35">
      <c r="A178">
        <f t="shared" si="9"/>
        <v>2.1240000000000014</v>
      </c>
      <c r="B178">
        <v>0.53439999999999999</v>
      </c>
      <c r="C178">
        <v>204.228973</v>
      </c>
      <c r="D178" s="1">
        <f t="shared" si="10"/>
        <v>0.16650804720000026</v>
      </c>
      <c r="H178" s="1"/>
    </row>
    <row r="179" spans="1:8" x14ac:dyDescent="0.35">
      <c r="A179">
        <f t="shared" si="9"/>
        <v>2.1360000000000015</v>
      </c>
      <c r="B179">
        <v>0.55944000000000005</v>
      </c>
      <c r="C179">
        <v>213.79840100000001</v>
      </c>
      <c r="D179" s="1">
        <f t="shared" si="10"/>
        <v>0.17395538639999988</v>
      </c>
      <c r="H179" s="1"/>
    </row>
    <row r="180" spans="1:8" x14ac:dyDescent="0.35">
      <c r="A180">
        <f t="shared" si="9"/>
        <v>2.1480000000000015</v>
      </c>
      <c r="B180">
        <v>0.58560000000000001</v>
      </c>
      <c r="C180">
        <v>223.79583700000001</v>
      </c>
      <c r="D180" s="1">
        <f t="shared" si="10"/>
        <v>0.16757165699999976</v>
      </c>
      <c r="H180" s="1"/>
    </row>
    <row r="181" spans="1:8" x14ac:dyDescent="0.35">
      <c r="A181">
        <f t="shared" si="9"/>
        <v>2.1600000000000015</v>
      </c>
      <c r="B181">
        <v>0.61080000000000001</v>
      </c>
      <c r="C181">
        <v>233.42639199999999</v>
      </c>
      <c r="D181" s="1">
        <f t="shared" si="10"/>
        <v>0.17395538639999988</v>
      </c>
      <c r="H181" s="1"/>
    </row>
    <row r="182" spans="1:8" x14ac:dyDescent="0.35">
      <c r="A182">
        <f t="shared" si="9"/>
        <v>2.1720000000000015</v>
      </c>
      <c r="B182">
        <v>0.63695999999999997</v>
      </c>
      <c r="C182">
        <v>243.42382799999999</v>
      </c>
      <c r="D182" s="1">
        <f t="shared" si="10"/>
        <v>0.1734230682000002</v>
      </c>
      <c r="H182" s="1"/>
    </row>
    <row r="183" spans="1:8" x14ac:dyDescent="0.35">
      <c r="A183">
        <f t="shared" si="9"/>
        <v>2.1840000000000015</v>
      </c>
      <c r="B183">
        <v>0.66303999999999996</v>
      </c>
      <c r="C183">
        <v>253.390671</v>
      </c>
      <c r="D183" s="1">
        <f t="shared" si="10"/>
        <v>0.17076377399999992</v>
      </c>
      <c r="H183" s="1"/>
    </row>
    <row r="184" spans="1:8" x14ac:dyDescent="0.35">
      <c r="A184">
        <f t="shared" si="9"/>
        <v>2.1960000000000015</v>
      </c>
      <c r="B184">
        <v>0.68872</v>
      </c>
      <c r="C184">
        <v>263.20468099999999</v>
      </c>
      <c r="D184" s="1">
        <f t="shared" si="10"/>
        <v>0.17342332920000003</v>
      </c>
      <c r="H184" s="1"/>
    </row>
    <row r="185" spans="1:8" x14ac:dyDescent="0.35">
      <c r="A185">
        <f t="shared" si="9"/>
        <v>2.2080000000000015</v>
      </c>
      <c r="B185">
        <v>0.71479999999999999</v>
      </c>
      <c r="C185">
        <v>273.171539</v>
      </c>
      <c r="D185" s="1">
        <f t="shared" si="10"/>
        <v>0.17076353040000053</v>
      </c>
    </row>
    <row r="186" spans="1:8" x14ac:dyDescent="0.35">
      <c r="A186">
        <f t="shared" si="9"/>
        <v>2.2200000000000015</v>
      </c>
      <c r="B186">
        <v>0.74048000000000003</v>
      </c>
      <c r="C186">
        <v>282.98553500000003</v>
      </c>
      <c r="D186" s="1">
        <f t="shared" si="10"/>
        <v>0.16810369679999915</v>
      </c>
    </row>
    <row r="187" spans="1:8" x14ac:dyDescent="0.35">
      <c r="A187">
        <f t="shared" si="9"/>
        <v>2.2320000000000015</v>
      </c>
      <c r="B187">
        <v>0.76576</v>
      </c>
      <c r="C187">
        <v>292.64666699999998</v>
      </c>
      <c r="D187" s="1">
        <f t="shared" si="10"/>
        <v>0.16704012180000008</v>
      </c>
    </row>
    <row r="188" spans="1:8" x14ac:dyDescent="0.35">
      <c r="A188">
        <f t="shared" si="9"/>
        <v>2.2440000000000015</v>
      </c>
      <c r="B188">
        <v>0.79088000000000003</v>
      </c>
      <c r="C188">
        <v>302.24667399999998</v>
      </c>
      <c r="D188" s="1">
        <f t="shared" si="10"/>
        <v>0.18938217419999978</v>
      </c>
    </row>
    <row r="189" spans="1:8" x14ac:dyDescent="0.35">
      <c r="A189">
        <f t="shared" si="9"/>
        <v>2.2560000000000016</v>
      </c>
      <c r="B189">
        <v>0.81935999999999998</v>
      </c>
      <c r="C189">
        <v>313.13070699999997</v>
      </c>
      <c r="D189" s="1">
        <f t="shared" si="10"/>
        <v>0.16384769160000021</v>
      </c>
    </row>
    <row r="190" spans="1:8" x14ac:dyDescent="0.35">
      <c r="A190">
        <f t="shared" si="9"/>
        <v>2.2680000000000016</v>
      </c>
      <c r="B190">
        <v>0.84399999999999997</v>
      </c>
      <c r="C190">
        <v>322.54724099999999</v>
      </c>
      <c r="D190" s="1">
        <f t="shared" si="10"/>
        <v>0.16916784599999976</v>
      </c>
    </row>
    <row r="191" spans="1:8" x14ac:dyDescent="0.35">
      <c r="A191">
        <f t="shared" si="9"/>
        <v>2.2800000000000016</v>
      </c>
      <c r="B191">
        <v>0.86943999999999999</v>
      </c>
      <c r="C191">
        <v>332.26953099999997</v>
      </c>
      <c r="D191" s="1">
        <f t="shared" si="10"/>
        <v>0.16863578880000091</v>
      </c>
    </row>
    <row r="192" spans="1:8" x14ac:dyDescent="0.35">
      <c r="A192">
        <f t="shared" si="9"/>
        <v>2.2920000000000016</v>
      </c>
      <c r="B192">
        <v>0.89480000000000004</v>
      </c>
      <c r="C192">
        <v>341.96124300000002</v>
      </c>
      <c r="D192" s="1">
        <f t="shared" si="10"/>
        <v>0.16916730659999915</v>
      </c>
    </row>
    <row r="193" spans="1:4" x14ac:dyDescent="0.35">
      <c r="A193">
        <f t="shared" si="9"/>
        <v>2.3040000000000016</v>
      </c>
      <c r="B193">
        <v>0.92023999999999995</v>
      </c>
      <c r="C193">
        <v>351.68350199999998</v>
      </c>
      <c r="D193" s="1">
        <f t="shared" si="10"/>
        <v>0.16650804720000026</v>
      </c>
    </row>
    <row r="194" spans="1:4" x14ac:dyDescent="0.35">
      <c r="A194">
        <f t="shared" si="9"/>
        <v>2.3160000000000016</v>
      </c>
      <c r="B194">
        <v>0.94528000000000001</v>
      </c>
      <c r="C194">
        <v>361.25292999999999</v>
      </c>
      <c r="D194" s="1">
        <f t="shared" si="10"/>
        <v>-2.4593143469999994</v>
      </c>
    </row>
    <row r="195" spans="1:4" x14ac:dyDescent="0.35">
      <c r="A195">
        <f t="shared" si="9"/>
        <v>2.3280000000000016</v>
      </c>
      <c r="B195">
        <v>0.57543999999999995</v>
      </c>
      <c r="C195">
        <v>219.913025</v>
      </c>
      <c r="D195" s="1">
        <f t="shared" si="10"/>
        <v>-3.4551689994000001</v>
      </c>
    </row>
    <row r="196" spans="1:4" x14ac:dyDescent="0.35">
      <c r="A196">
        <f t="shared" ref="A196:A253" si="13">A195+12*10^-3</f>
        <v>2.3400000000000016</v>
      </c>
      <c r="B196">
        <v>5.5840000000000001E-2</v>
      </c>
      <c r="C196">
        <v>21.340094000000001</v>
      </c>
      <c r="D196" s="1">
        <f t="shared" ref="D196:D253" si="14">(C197-C196)*0.0174</f>
        <v>0.17342338139999997</v>
      </c>
    </row>
    <row r="197" spans="1:4" x14ac:dyDescent="0.35">
      <c r="A197">
        <f t="shared" si="13"/>
        <v>2.3520000000000016</v>
      </c>
      <c r="B197">
        <v>8.1920000000000007E-2</v>
      </c>
      <c r="C197">
        <v>31.306954999999999</v>
      </c>
      <c r="D197" s="1">
        <f t="shared" si="14"/>
        <v>0.17501937900000006</v>
      </c>
    </row>
    <row r="198" spans="1:4" x14ac:dyDescent="0.35">
      <c r="A198">
        <f t="shared" si="13"/>
        <v>2.3640000000000017</v>
      </c>
      <c r="B198">
        <v>0.10824</v>
      </c>
      <c r="C198">
        <v>41.365540000000003</v>
      </c>
      <c r="D198" s="1">
        <f t="shared" si="14"/>
        <v>0.17023150799999998</v>
      </c>
    </row>
    <row r="199" spans="1:4" x14ac:dyDescent="0.35">
      <c r="A199">
        <f t="shared" si="13"/>
        <v>2.3760000000000017</v>
      </c>
      <c r="B199">
        <v>0.13383999999999999</v>
      </c>
      <c r="C199">
        <v>51.148960000000002</v>
      </c>
      <c r="D199" s="1">
        <f t="shared" si="14"/>
        <v>0.17395545599999995</v>
      </c>
    </row>
    <row r="200" spans="1:4" x14ac:dyDescent="0.35">
      <c r="A200">
        <f t="shared" si="13"/>
        <v>2.3880000000000017</v>
      </c>
      <c r="B200">
        <v>0.16</v>
      </c>
      <c r="C200">
        <v>61.1464</v>
      </c>
      <c r="D200" s="1">
        <f t="shared" si="14"/>
        <v>0.17182752300000004</v>
      </c>
    </row>
    <row r="201" spans="1:4" x14ac:dyDescent="0.35">
      <c r="A201">
        <f t="shared" si="13"/>
        <v>2.4000000000000017</v>
      </c>
      <c r="B201">
        <v>0.18584000000000001</v>
      </c>
      <c r="C201">
        <v>71.021545000000003</v>
      </c>
      <c r="D201" s="1">
        <f t="shared" si="14"/>
        <v>0.17714713799999995</v>
      </c>
    </row>
    <row r="202" spans="1:4" x14ac:dyDescent="0.35">
      <c r="A202">
        <f t="shared" si="13"/>
        <v>2.4120000000000017</v>
      </c>
      <c r="B202">
        <v>0.21248</v>
      </c>
      <c r="C202">
        <v>81.202415000000002</v>
      </c>
      <c r="D202" s="1">
        <f t="shared" si="14"/>
        <v>0.17235945839999994</v>
      </c>
    </row>
    <row r="203" spans="1:4" x14ac:dyDescent="0.35">
      <c r="A203">
        <f t="shared" si="13"/>
        <v>2.4240000000000017</v>
      </c>
      <c r="B203">
        <v>0.2384</v>
      </c>
      <c r="C203">
        <v>91.108131</v>
      </c>
      <c r="D203" s="1">
        <f t="shared" si="14"/>
        <v>0.17129558759999988</v>
      </c>
    </row>
    <row r="204" spans="1:4" x14ac:dyDescent="0.35">
      <c r="A204">
        <f t="shared" si="13"/>
        <v>2.4360000000000017</v>
      </c>
      <c r="B204">
        <v>0.26416000000000001</v>
      </c>
      <c r="C204">
        <v>100.95270499999999</v>
      </c>
      <c r="D204" s="1">
        <f t="shared" si="14"/>
        <v>0.17076365219999998</v>
      </c>
    </row>
    <row r="205" spans="1:4" x14ac:dyDescent="0.35">
      <c r="A205">
        <f t="shared" si="13"/>
        <v>2.4480000000000017</v>
      </c>
      <c r="B205">
        <v>0.28983999999999999</v>
      </c>
      <c r="C205">
        <v>110.76670799999999</v>
      </c>
      <c r="D205" s="1">
        <f t="shared" si="14"/>
        <v>0.17182740120000012</v>
      </c>
    </row>
    <row r="206" spans="1:4" x14ac:dyDescent="0.35">
      <c r="A206">
        <f t="shared" si="13"/>
        <v>2.4600000000000017</v>
      </c>
      <c r="B206">
        <v>0.31568000000000002</v>
      </c>
      <c r="C206">
        <v>120.641846</v>
      </c>
      <c r="D206" s="1">
        <f t="shared" si="14"/>
        <v>0.17076351299999984</v>
      </c>
    </row>
    <row r="207" spans="1:4" x14ac:dyDescent="0.35">
      <c r="A207">
        <f t="shared" si="13"/>
        <v>2.4720000000000018</v>
      </c>
      <c r="B207">
        <v>0.34136</v>
      </c>
      <c r="C207">
        <v>130.45584099999999</v>
      </c>
      <c r="D207" s="1">
        <f t="shared" si="14"/>
        <v>0.1718273837999999</v>
      </c>
    </row>
    <row r="208" spans="1:4" x14ac:dyDescent="0.35">
      <c r="A208">
        <f t="shared" si="13"/>
        <v>2.4840000000000018</v>
      </c>
      <c r="B208">
        <v>0.36720000000000003</v>
      </c>
      <c r="C208">
        <v>140.33097799999999</v>
      </c>
      <c r="D208" s="1">
        <f t="shared" si="14"/>
        <v>0.16969992060000005</v>
      </c>
    </row>
    <row r="209" spans="1:4" x14ac:dyDescent="0.35">
      <c r="A209">
        <f t="shared" si="13"/>
        <v>2.4960000000000018</v>
      </c>
      <c r="B209">
        <v>0.39272000000000001</v>
      </c>
      <c r="C209">
        <v>150.08384699999999</v>
      </c>
      <c r="D209" s="1">
        <f t="shared" si="14"/>
        <v>0.1718273837999999</v>
      </c>
    </row>
    <row r="210" spans="1:4" x14ac:dyDescent="0.35">
      <c r="A210">
        <f t="shared" si="13"/>
        <v>2.5080000000000018</v>
      </c>
      <c r="B210">
        <v>0.41855999999999999</v>
      </c>
      <c r="C210">
        <v>159.95898399999999</v>
      </c>
      <c r="D210" s="1">
        <f t="shared" si="14"/>
        <v>0.16969965960000022</v>
      </c>
    </row>
    <row r="211" spans="1:4" x14ac:dyDescent="0.35">
      <c r="A211">
        <f t="shared" si="13"/>
        <v>2.5200000000000018</v>
      </c>
      <c r="B211">
        <v>0.44407999999999997</v>
      </c>
      <c r="C211">
        <v>169.711838</v>
      </c>
      <c r="D211" s="1">
        <f t="shared" si="14"/>
        <v>0.17555133179999999</v>
      </c>
    </row>
    <row r="212" spans="1:4" x14ac:dyDescent="0.35">
      <c r="A212">
        <f t="shared" si="13"/>
        <v>2.5320000000000018</v>
      </c>
      <c r="B212">
        <v>0.47048000000000001</v>
      </c>
      <c r="C212">
        <v>179.800995</v>
      </c>
      <c r="D212" s="1">
        <f t="shared" si="14"/>
        <v>0.17342332920000003</v>
      </c>
    </row>
    <row r="213" spans="1:4" x14ac:dyDescent="0.35">
      <c r="A213">
        <f t="shared" si="13"/>
        <v>2.5440000000000018</v>
      </c>
      <c r="B213">
        <v>0.49656</v>
      </c>
      <c r="C213">
        <v>189.767853</v>
      </c>
      <c r="D213" s="1">
        <f t="shared" si="14"/>
        <v>0.16916784599999976</v>
      </c>
    </row>
    <row r="214" spans="1:4" x14ac:dyDescent="0.35">
      <c r="A214">
        <f t="shared" si="13"/>
        <v>2.5560000000000018</v>
      </c>
      <c r="B214">
        <v>0.52200000000000002</v>
      </c>
      <c r="C214">
        <v>199.49014299999999</v>
      </c>
      <c r="D214" s="1">
        <f t="shared" si="14"/>
        <v>0.1718273838000004</v>
      </c>
    </row>
    <row r="215" spans="1:4" x14ac:dyDescent="0.35">
      <c r="A215">
        <f t="shared" si="13"/>
        <v>2.5680000000000018</v>
      </c>
      <c r="B215">
        <v>0.54783999999999999</v>
      </c>
      <c r="C215">
        <v>209.36528000000001</v>
      </c>
      <c r="D215" s="1">
        <f t="shared" si="14"/>
        <v>0.17129532659999955</v>
      </c>
    </row>
    <row r="216" spans="1:4" x14ac:dyDescent="0.35">
      <c r="A216">
        <f t="shared" si="13"/>
        <v>2.5800000000000018</v>
      </c>
      <c r="B216">
        <v>0.5736</v>
      </c>
      <c r="C216">
        <v>219.20983899999999</v>
      </c>
      <c r="D216" s="1">
        <f t="shared" si="14"/>
        <v>0.17395538640000036</v>
      </c>
    </row>
    <row r="217" spans="1:4" x14ac:dyDescent="0.35">
      <c r="A217">
        <f t="shared" si="13"/>
        <v>2.5920000000000019</v>
      </c>
      <c r="B217">
        <v>0.59975999999999996</v>
      </c>
      <c r="C217">
        <v>229.20727500000001</v>
      </c>
      <c r="D217" s="1">
        <f t="shared" si="14"/>
        <v>0.19044684540000004</v>
      </c>
    </row>
    <row r="218" spans="1:4" x14ac:dyDescent="0.35">
      <c r="A218">
        <f t="shared" si="13"/>
        <v>2.6040000000000019</v>
      </c>
      <c r="B218">
        <v>0.62839999999999996</v>
      </c>
      <c r="C218">
        <v>240.15249600000001</v>
      </c>
      <c r="D218" s="1">
        <f t="shared" si="14"/>
        <v>0.17767907339999964</v>
      </c>
    </row>
    <row r="219" spans="1:4" x14ac:dyDescent="0.35">
      <c r="A219">
        <f t="shared" si="13"/>
        <v>2.6160000000000019</v>
      </c>
      <c r="B219">
        <v>0.65512000000000004</v>
      </c>
      <c r="C219">
        <v>250.36393699999999</v>
      </c>
      <c r="D219" s="1">
        <f t="shared" si="14"/>
        <v>0.17395566479999966</v>
      </c>
    </row>
    <row r="220" spans="1:4" x14ac:dyDescent="0.35">
      <c r="A220">
        <f t="shared" si="13"/>
        <v>2.6280000000000019</v>
      </c>
      <c r="B220">
        <v>0.68128</v>
      </c>
      <c r="C220">
        <v>260.36138899999997</v>
      </c>
      <c r="D220" s="1">
        <f t="shared" si="14"/>
        <v>0.17129506560000071</v>
      </c>
    </row>
    <row r="221" spans="1:4" x14ac:dyDescent="0.35">
      <c r="A221">
        <f t="shared" si="13"/>
        <v>2.6400000000000019</v>
      </c>
      <c r="B221">
        <v>0.70704</v>
      </c>
      <c r="C221">
        <v>270.20593300000002</v>
      </c>
      <c r="D221" s="1">
        <f t="shared" si="14"/>
        <v>0.17289125459999924</v>
      </c>
    </row>
    <row r="222" spans="1:4" x14ac:dyDescent="0.35">
      <c r="A222">
        <f t="shared" si="13"/>
        <v>2.6520000000000019</v>
      </c>
      <c r="B222">
        <v>0.73304000000000002</v>
      </c>
      <c r="C222">
        <v>280.14221199999997</v>
      </c>
      <c r="D222" s="1">
        <f t="shared" si="14"/>
        <v>0.17289179400000082</v>
      </c>
    </row>
    <row r="223" spans="1:4" x14ac:dyDescent="0.35">
      <c r="A223">
        <f t="shared" si="13"/>
        <v>2.6640000000000019</v>
      </c>
      <c r="B223">
        <v>0.75904000000000005</v>
      </c>
      <c r="C223">
        <v>290.07852200000002</v>
      </c>
      <c r="D223" s="1">
        <f t="shared" si="14"/>
        <v>0.17342332920000003</v>
      </c>
    </row>
    <row r="224" spans="1:4" x14ac:dyDescent="0.35">
      <c r="A224">
        <f t="shared" si="13"/>
        <v>2.6760000000000019</v>
      </c>
      <c r="B224">
        <v>0.78512000000000004</v>
      </c>
      <c r="C224">
        <v>300.04538000000002</v>
      </c>
      <c r="D224" s="1">
        <f t="shared" si="14"/>
        <v>0.16810369679999915</v>
      </c>
    </row>
    <row r="225" spans="1:4" x14ac:dyDescent="0.35">
      <c r="A225">
        <f t="shared" si="13"/>
        <v>2.6880000000000019</v>
      </c>
      <c r="B225">
        <v>0.81040000000000001</v>
      </c>
      <c r="C225">
        <v>309.70651199999998</v>
      </c>
      <c r="D225" s="1">
        <f t="shared" si="14"/>
        <v>0.16969939860000088</v>
      </c>
    </row>
    <row r="226" spans="1:4" x14ac:dyDescent="0.35">
      <c r="A226">
        <f t="shared" si="13"/>
        <v>2.700000000000002</v>
      </c>
      <c r="B226">
        <v>0.83592</v>
      </c>
      <c r="C226">
        <v>319.45935100000003</v>
      </c>
      <c r="D226" s="1">
        <f t="shared" si="14"/>
        <v>0.16863631079999958</v>
      </c>
    </row>
    <row r="227" spans="1:4" x14ac:dyDescent="0.35">
      <c r="A227">
        <f t="shared" si="13"/>
        <v>2.712000000000002</v>
      </c>
      <c r="B227">
        <v>0.86128000000000005</v>
      </c>
      <c r="C227">
        <v>329.151093</v>
      </c>
      <c r="D227" s="1">
        <f t="shared" si="14"/>
        <v>0.17182712279999957</v>
      </c>
    </row>
    <row r="228" spans="1:4" x14ac:dyDescent="0.35">
      <c r="A228">
        <f t="shared" si="13"/>
        <v>2.724000000000002</v>
      </c>
      <c r="B228">
        <v>0.88712000000000002</v>
      </c>
      <c r="C228">
        <v>339.02621499999998</v>
      </c>
      <c r="D228" s="1">
        <f t="shared" si="14"/>
        <v>0.17289125460000021</v>
      </c>
    </row>
    <row r="229" spans="1:4" x14ac:dyDescent="0.35">
      <c r="A229">
        <f t="shared" si="13"/>
        <v>2.736000000000002</v>
      </c>
      <c r="B229">
        <v>0.91312000000000004</v>
      </c>
      <c r="C229">
        <v>348.96249399999999</v>
      </c>
      <c r="D229" s="1">
        <f t="shared" si="14"/>
        <v>0.16969992060000055</v>
      </c>
    </row>
    <row r="230" spans="1:4" x14ac:dyDescent="0.35">
      <c r="A230">
        <f t="shared" si="13"/>
        <v>2.748000000000002</v>
      </c>
      <c r="B230">
        <v>0.93864000000000003</v>
      </c>
      <c r="C230">
        <v>358.71536300000002</v>
      </c>
      <c r="D230" s="1">
        <f t="shared" si="14"/>
        <v>-0.22715317200000087</v>
      </c>
    </row>
    <row r="231" spans="1:4" x14ac:dyDescent="0.35">
      <c r="A231">
        <f t="shared" si="13"/>
        <v>2.760000000000002</v>
      </c>
      <c r="B231">
        <v>0.90447999999999995</v>
      </c>
      <c r="C231">
        <v>345.66058299999997</v>
      </c>
      <c r="D231" s="1">
        <f t="shared" si="14"/>
        <v>-5.6873303483999988</v>
      </c>
    </row>
    <row r="232" spans="1:4" x14ac:dyDescent="0.35">
      <c r="A232">
        <f t="shared" si="13"/>
        <v>2.772000000000002</v>
      </c>
      <c r="B232">
        <v>4.9200000000000001E-2</v>
      </c>
      <c r="C232">
        <v>18.802517000000002</v>
      </c>
      <c r="D232" s="1">
        <f t="shared" si="14"/>
        <v>0.17129555279999997</v>
      </c>
    </row>
    <row r="233" spans="1:4" x14ac:dyDescent="0.35">
      <c r="A233">
        <f t="shared" si="13"/>
        <v>2.784000000000002</v>
      </c>
      <c r="B233">
        <v>7.4959999999999999E-2</v>
      </c>
      <c r="C233">
        <v>28.647089000000001</v>
      </c>
      <c r="D233" s="1">
        <f t="shared" si="14"/>
        <v>0.17235942359999992</v>
      </c>
    </row>
    <row r="234" spans="1:4" x14ac:dyDescent="0.35">
      <c r="A234">
        <f t="shared" si="13"/>
        <v>2.796000000000002</v>
      </c>
      <c r="B234">
        <v>0.10088</v>
      </c>
      <c r="C234">
        <v>38.552802999999997</v>
      </c>
      <c r="D234" s="1">
        <f t="shared" si="14"/>
        <v>0.17289153300000001</v>
      </c>
    </row>
    <row r="235" spans="1:4" x14ac:dyDescent="0.35">
      <c r="A235">
        <f t="shared" si="13"/>
        <v>2.808000000000002</v>
      </c>
      <c r="B235">
        <v>0.12687999999999999</v>
      </c>
      <c r="C235">
        <v>48.489097999999998</v>
      </c>
      <c r="D235" s="1">
        <f t="shared" si="14"/>
        <v>0.16916756759999996</v>
      </c>
    </row>
    <row r="236" spans="1:4" x14ac:dyDescent="0.35">
      <c r="A236">
        <f t="shared" si="13"/>
        <v>2.8200000000000021</v>
      </c>
      <c r="B236">
        <v>0.15232000000000001</v>
      </c>
      <c r="C236">
        <v>58.211371999999997</v>
      </c>
      <c r="D236" s="1">
        <f t="shared" si="14"/>
        <v>0.17023159500000012</v>
      </c>
    </row>
    <row r="237" spans="1:4" x14ac:dyDescent="0.35">
      <c r="A237">
        <f t="shared" si="13"/>
        <v>2.8320000000000021</v>
      </c>
      <c r="B237">
        <v>0.17791999999999999</v>
      </c>
      <c r="C237">
        <v>67.994797000000005</v>
      </c>
      <c r="D237" s="1">
        <f t="shared" si="14"/>
        <v>0.1766153244</v>
      </c>
    </row>
    <row r="238" spans="1:4" x14ac:dyDescent="0.35">
      <c r="A238">
        <f t="shared" si="13"/>
        <v>2.8440000000000021</v>
      </c>
      <c r="B238">
        <v>0.20448</v>
      </c>
      <c r="C238">
        <v>78.145103000000006</v>
      </c>
      <c r="D238" s="1">
        <f t="shared" si="14"/>
        <v>0.17235933659999977</v>
      </c>
    </row>
    <row r="239" spans="1:4" x14ac:dyDescent="0.35">
      <c r="A239">
        <f t="shared" si="13"/>
        <v>2.8560000000000021</v>
      </c>
      <c r="B239">
        <v>0.23039999999999999</v>
      </c>
      <c r="C239">
        <v>88.050811999999993</v>
      </c>
      <c r="D239" s="1">
        <f t="shared" si="14"/>
        <v>0.17129558760000013</v>
      </c>
    </row>
    <row r="240" spans="1:4" x14ac:dyDescent="0.35">
      <c r="A240">
        <f t="shared" si="13"/>
        <v>2.8680000000000021</v>
      </c>
      <c r="B240">
        <v>0.25616</v>
      </c>
      <c r="C240">
        <v>97.895386000000002</v>
      </c>
      <c r="D240" s="1">
        <f t="shared" si="14"/>
        <v>0.17076351299999984</v>
      </c>
    </row>
    <row r="241" spans="1:4" x14ac:dyDescent="0.35">
      <c r="A241">
        <f t="shared" si="13"/>
        <v>2.8800000000000021</v>
      </c>
      <c r="B241">
        <v>0.28183999999999998</v>
      </c>
      <c r="C241">
        <v>107.70938099999999</v>
      </c>
      <c r="D241" s="1">
        <f t="shared" si="14"/>
        <v>0.16969964220000003</v>
      </c>
    </row>
    <row r="242" spans="1:4" x14ac:dyDescent="0.35">
      <c r="A242">
        <f t="shared" si="13"/>
        <v>2.8920000000000021</v>
      </c>
      <c r="B242">
        <v>0.30736000000000002</v>
      </c>
      <c r="C242">
        <v>117.462234</v>
      </c>
      <c r="D242" s="1">
        <f t="shared" si="14"/>
        <v>0.17076353040000003</v>
      </c>
    </row>
    <row r="243" spans="1:4" x14ac:dyDescent="0.35">
      <c r="A243">
        <f t="shared" si="13"/>
        <v>2.9040000000000021</v>
      </c>
      <c r="B243">
        <v>0.33304</v>
      </c>
      <c r="C243">
        <v>127.27623</v>
      </c>
      <c r="D243" s="1">
        <f t="shared" si="14"/>
        <v>0.16810371420000011</v>
      </c>
    </row>
    <row r="244" spans="1:4" x14ac:dyDescent="0.35">
      <c r="A244">
        <f t="shared" si="13"/>
        <v>2.9160000000000021</v>
      </c>
      <c r="B244">
        <v>0.35832000000000003</v>
      </c>
      <c r="C244">
        <v>136.937363</v>
      </c>
      <c r="D244" s="1">
        <f t="shared" si="14"/>
        <v>0.17342359019999987</v>
      </c>
    </row>
    <row r="245" spans="1:4" x14ac:dyDescent="0.35">
      <c r="A245">
        <f t="shared" si="13"/>
        <v>2.9280000000000022</v>
      </c>
      <c r="B245">
        <v>0.38440000000000002</v>
      </c>
      <c r="C245">
        <v>146.904236</v>
      </c>
      <c r="D245" s="1">
        <f t="shared" si="14"/>
        <v>0.16491182339999988</v>
      </c>
    </row>
    <row r="246" spans="1:4" x14ac:dyDescent="0.35">
      <c r="A246">
        <f t="shared" si="13"/>
        <v>2.9400000000000022</v>
      </c>
      <c r="B246">
        <v>0.40920000000000001</v>
      </c>
      <c r="C246">
        <v>156.38192699999999</v>
      </c>
      <c r="D246" s="1">
        <f t="shared" si="14"/>
        <v>0.18246689220000004</v>
      </c>
    </row>
    <row r="247" spans="1:4" x14ac:dyDescent="0.35">
      <c r="A247">
        <f t="shared" si="13"/>
        <v>2.9520000000000022</v>
      </c>
      <c r="B247">
        <v>0.43663999999999997</v>
      </c>
      <c r="C247">
        <v>166.86852999999999</v>
      </c>
      <c r="D247" s="1">
        <f t="shared" si="14"/>
        <v>0.16969938119999994</v>
      </c>
    </row>
    <row r="248" spans="1:4" x14ac:dyDescent="0.35">
      <c r="A248">
        <f t="shared" si="13"/>
        <v>2.9640000000000022</v>
      </c>
      <c r="B248">
        <v>0.46216000000000002</v>
      </c>
      <c r="C248">
        <v>176.62136799999999</v>
      </c>
      <c r="D248" s="1">
        <f t="shared" si="14"/>
        <v>0.17023171680000007</v>
      </c>
    </row>
    <row r="249" spans="1:4" x14ac:dyDescent="0.35">
      <c r="A249">
        <f t="shared" si="13"/>
        <v>2.9760000000000022</v>
      </c>
      <c r="B249">
        <v>0.48776000000000003</v>
      </c>
      <c r="C249">
        <v>186.40479999999999</v>
      </c>
      <c r="D249" s="1">
        <f t="shared" si="14"/>
        <v>0.17182740119999987</v>
      </c>
    </row>
    <row r="250" spans="1:4" x14ac:dyDescent="0.35">
      <c r="A250">
        <f t="shared" si="13"/>
        <v>2.9880000000000022</v>
      </c>
      <c r="B250">
        <v>0.51359999999999995</v>
      </c>
      <c r="C250">
        <v>196.27993799999999</v>
      </c>
      <c r="D250" s="1">
        <f t="shared" si="14"/>
        <v>0.1718273838000004</v>
      </c>
    </row>
    <row r="251" spans="1:4" x14ac:dyDescent="0.35">
      <c r="A251">
        <f t="shared" si="13"/>
        <v>3.0000000000000022</v>
      </c>
      <c r="B251">
        <v>0.53944000000000003</v>
      </c>
      <c r="C251">
        <v>206.15507500000001</v>
      </c>
      <c r="D251" s="1">
        <f t="shared" si="14"/>
        <v>0.16491184079999982</v>
      </c>
    </row>
    <row r="252" spans="1:4" x14ac:dyDescent="0.35">
      <c r="A252">
        <f t="shared" si="13"/>
        <v>3.0120000000000022</v>
      </c>
      <c r="B252">
        <v>0.56423999999999996</v>
      </c>
      <c r="C252">
        <v>215.632767</v>
      </c>
      <c r="D252" s="1">
        <f t="shared" si="14"/>
        <v>0.17501979659999981</v>
      </c>
    </row>
    <row r="253" spans="1:4" x14ac:dyDescent="0.35">
      <c r="A253">
        <f t="shared" si="13"/>
        <v>3.0240000000000022</v>
      </c>
      <c r="B253">
        <v>0.59055999999999997</v>
      </c>
      <c r="C253">
        <v>225.69137599999999</v>
      </c>
      <c r="D253" s="1">
        <f t="shared" si="14"/>
        <v>-3.9270299423999995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Ditte Filskov Theilgaard</cp:lastModifiedBy>
  <dcterms:created xsi:type="dcterms:W3CDTF">2025-11-07T11:21:37Z</dcterms:created>
  <dcterms:modified xsi:type="dcterms:W3CDTF">2025-11-15T11:58:54Z</dcterms:modified>
</cp:coreProperties>
</file>